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скания" sheetId="1" state="visible" r:id="rId1"/>
    <sheet xmlns:r="http://schemas.openxmlformats.org/officeDocument/2006/relationships" name="Резюме" sheetId="2" state="visible" r:id="rId2"/>
    <sheet xmlns:r="http://schemas.openxmlformats.org/officeDocument/2006/relationships" name="Приходи" sheetId="3" state="visible" r:id="rId3"/>
    <sheet xmlns:r="http://schemas.openxmlformats.org/officeDocument/2006/relationships" name="Разходи" sheetId="4" state="visible" r:id="rId4"/>
    <sheet xmlns:r="http://schemas.openxmlformats.org/officeDocument/2006/relationships" name="Парични потоц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;[Red](€#,##0)"/>
    <numFmt numFmtId="165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8.5"/>
    </font>
    <font>
      <name val="Calibri"/>
      <b val="1"/>
      <color rgb="004A5D72"/>
      <sz val="8.5"/>
    </font>
    <font>
      <name val="Calibri"/>
      <b val="1"/>
      <color rgb="00FFFFFF"/>
      <sz val="9"/>
    </font>
    <font>
      <name val="Calibri"/>
      <color rgb="00162030"/>
      <sz val="9.5"/>
    </font>
    <font>
      <name val="Calibri"/>
      <i val="1"/>
      <color rgb="008898AB"/>
      <sz val="8"/>
    </font>
    <font>
      <name val="Calibri"/>
      <b val="1"/>
      <color rgb="001E7A48"/>
      <sz val="9.5"/>
    </font>
    <font>
      <name val="Calibri"/>
      <i val="1"/>
      <color rgb="004A5D72"/>
      <sz val="8.5"/>
    </font>
    <font>
      <name val="Calibri"/>
      <b val="1"/>
      <color rgb="00162030"/>
      <sz val="9"/>
    </font>
    <font>
      <name val="Calibri"/>
      <sz val="9.5"/>
    </font>
    <font>
      <name val="Calibri"/>
      <b val="1"/>
      <color rgb="00162030"/>
      <sz val="9.5"/>
    </font>
    <font>
      <name val="Calibri"/>
      <b val="1"/>
      <color rgb="001B6B58"/>
      <sz val="9.5"/>
    </font>
    <font>
      <name val="Calibri"/>
      <b val="1"/>
      <color rgb="00C07318"/>
      <sz val="9.5"/>
    </font>
    <font>
      <name val="Calibri"/>
      <b val="1"/>
      <color rgb="001E7A48"/>
      <sz val="10"/>
    </font>
    <font>
      <name val="Calibri"/>
      <color rgb="001E7A48"/>
      <sz val="9.5"/>
    </font>
    <font>
      <name val="Calibri"/>
      <b val="1"/>
      <color rgb="002F72B0"/>
      <sz val="9.5"/>
    </font>
    <font>
      <name val="Calibri"/>
      <b val="1"/>
      <sz val="10"/>
    </font>
    <font>
      <name val="Calibri"/>
      <color rgb="004A5D72"/>
      <sz val="8.5"/>
    </font>
    <font>
      <name val="Calibri"/>
      <color rgb="00B83230"/>
      <sz val="9.5"/>
    </font>
    <font>
      <name val="Calibri"/>
      <color rgb="00162030"/>
      <sz val="9"/>
    </font>
    <font>
      <name val="Calibri"/>
      <color rgb="001E7A48"/>
      <sz val="9"/>
    </font>
    <font>
      <name val="Calibri"/>
      <b val="1"/>
      <color rgb="00B83230"/>
      <sz val="9"/>
    </font>
    <font>
      <name val="Calibri"/>
      <b val="1"/>
      <color rgb="001E7A48"/>
      <sz val="9"/>
    </font>
    <font>
      <name val="Calibri"/>
      <b val="1"/>
      <color rgb="00B83230"/>
      <sz val="9.5"/>
    </font>
  </fonts>
  <fills count="17">
    <fill>
      <patternFill/>
    </fill>
    <fill>
      <patternFill patternType="gray125"/>
    </fill>
    <fill>
      <patternFill patternType="solid">
        <fgColor rgb="001B6B58"/>
      </patternFill>
    </fill>
    <fill>
      <patternFill patternType="solid">
        <fgColor rgb="00F2F4F7"/>
      </patternFill>
    </fill>
    <fill>
      <patternFill patternType="solid">
        <fgColor rgb="00E0E5ED"/>
      </patternFill>
    </fill>
    <fill>
      <patternFill patternType="solid">
        <fgColor rgb="00FFFFFF"/>
      </patternFill>
    </fill>
    <fill>
      <patternFill patternType="solid">
        <fgColor rgb="00F2FBF0"/>
      </patternFill>
    </fill>
    <fill>
      <patternFill patternType="solid">
        <fgColor rgb="002F72B0"/>
      </patternFill>
    </fill>
    <fill>
      <patternFill patternType="solid">
        <fgColor rgb="00C07318"/>
      </patternFill>
    </fill>
    <fill>
      <patternFill patternType="solid">
        <fgColor rgb="00B83230"/>
      </patternFill>
    </fill>
    <fill>
      <patternFill patternType="solid">
        <fgColor rgb="001E7A48"/>
      </patternFill>
    </fill>
    <fill>
      <patternFill patternType="solid">
        <fgColor rgb="00E4F5EC"/>
      </patternFill>
    </fill>
    <fill>
      <patternFill patternType="solid">
        <fgColor rgb="00DDEAF5"/>
      </patternFill>
    </fill>
    <fill>
      <patternFill patternType="solid">
        <fgColor rgb="00E4F1EE"/>
      </patternFill>
    </fill>
    <fill>
      <patternFill patternType="solid">
        <fgColor rgb="00FDF3E4"/>
      </patternFill>
    </fill>
    <fill>
      <patternFill patternType="solid">
        <fgColor rgb="00FDECEA"/>
      </patternFill>
    </fill>
    <fill>
      <patternFill patternType="solid">
        <fgColor rgb="00C8D2DC"/>
      </patternFill>
    </fill>
  </fills>
  <borders count="5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  <border>
      <bottom style="thin">
        <color rgb="00C8D2DC"/>
      </bottom>
    </border>
    <border>
      <top style="medium">
        <color rgb="00A0AABC"/>
      </top>
      <bottom style="thin">
        <color rgb="00C8D2DC"/>
      </bottom>
    </border>
    <border>
      <top style="medium">
        <color rgb="00A0AABC"/>
      </top>
      <bottom style="medium">
        <color rgb="00A0AABC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right" vertical="center" indent="1"/>
    </xf>
    <xf numFmtId="0" fontId="4" fillId="2" borderId="0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indent="1"/>
    </xf>
    <xf numFmtId="3" fontId="5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8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left" vertical="center" indent="1"/>
    </xf>
    <xf numFmtId="164" fontId="7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8" fillId="3" borderId="0" applyAlignment="1" pivotButton="0" quotePrefix="0" xfId="0">
      <alignment vertical="center" wrapText="1" indent="1"/>
    </xf>
    <xf numFmtId="0" fontId="1" fillId="7" borderId="0" applyAlignment="1" pivotButton="0" quotePrefix="0" xfId="0">
      <alignment horizontal="left" vertical="center" indent="1"/>
    </xf>
    <xf numFmtId="0" fontId="8" fillId="12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right" vertical="center" indent="1"/>
    </xf>
    <xf numFmtId="164" fontId="10" fillId="5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11" fillId="13" borderId="2" applyAlignment="1" pivotButton="0" quotePrefix="0" xfId="0">
      <alignment horizontal="left" vertical="center"/>
    </xf>
    <xf numFmtId="164" fontId="12" fillId="13" borderId="3" applyAlignment="1" pivotButton="0" quotePrefix="0" xfId="0">
      <alignment horizontal="right" vertical="center"/>
    </xf>
    <xf numFmtId="0" fontId="11" fillId="14" borderId="2" applyAlignment="1" pivotButton="0" quotePrefix="0" xfId="0">
      <alignment horizontal="left" vertical="center"/>
    </xf>
    <xf numFmtId="164" fontId="13" fillId="14" borderId="3" applyAlignment="1" pivotButton="0" quotePrefix="0" xfId="0">
      <alignment horizontal="right" vertical="center"/>
    </xf>
    <xf numFmtId="0" fontId="11" fillId="11" borderId="2" applyAlignment="1" pivotButton="0" quotePrefix="0" xfId="0">
      <alignment horizontal="left" vertical="center"/>
    </xf>
    <xf numFmtId="164" fontId="14" fillId="11" borderId="4" applyAlignment="1" pivotButton="0" quotePrefix="0" xfId="0">
      <alignment horizontal="right" vertical="center"/>
    </xf>
    <xf numFmtId="165" fontId="15" fillId="0" borderId="2" applyAlignment="1" pivotButton="0" quotePrefix="0" xfId="0">
      <alignment horizontal="right" vertical="center"/>
    </xf>
    <xf numFmtId="0" fontId="11" fillId="12" borderId="2" applyAlignment="1" pivotButton="0" quotePrefix="0" xfId="0">
      <alignment horizontal="left" vertical="center"/>
    </xf>
    <xf numFmtId="164" fontId="16" fillId="12" borderId="3" applyAlignment="1" pivotButton="0" quotePrefix="0" xfId="0">
      <alignment horizontal="right" vertical="center"/>
    </xf>
    <xf numFmtId="0" fontId="11" fillId="4" borderId="2" applyAlignment="1" pivotButton="0" quotePrefix="0" xfId="0">
      <alignment horizontal="left" vertical="center"/>
    </xf>
    <xf numFmtId="164" fontId="17" fillId="4" borderId="4" applyAlignment="1" pivotButton="0" quotePrefix="0" xfId="0">
      <alignment horizontal="right" vertical="center"/>
    </xf>
    <xf numFmtId="165" fontId="10" fillId="0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/>
    </xf>
    <xf numFmtId="164" fontId="17" fillId="3" borderId="4" applyAlignment="1" pivotButton="0" quotePrefix="0" xfId="0">
      <alignment horizontal="right" vertical="center"/>
    </xf>
    <xf numFmtId="0" fontId="1" fillId="10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3" fontId="5" fillId="13" borderId="2" applyAlignment="1" pivotButton="0" quotePrefix="0" xfId="0">
      <alignment horizontal="right" vertical="center"/>
    </xf>
    <xf numFmtId="165" fontId="5" fillId="13" borderId="2" applyAlignment="1" pivotButton="0" quotePrefix="0" xfId="0">
      <alignment horizontal="right" vertical="center"/>
    </xf>
    <xf numFmtId="3" fontId="5" fillId="12" borderId="2" applyAlignment="1" pivotButton="0" quotePrefix="0" xfId="0">
      <alignment horizontal="right" vertical="center"/>
    </xf>
    <xf numFmtId="165" fontId="5" fillId="12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3" fontId="5" fillId="14" borderId="2" applyAlignment="1" pivotButton="0" quotePrefix="0" xfId="0">
      <alignment horizontal="right" vertical="center"/>
    </xf>
    <xf numFmtId="165" fontId="5" fillId="14" borderId="2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 vertical="center"/>
    </xf>
    <xf numFmtId="3" fontId="11" fillId="4" borderId="3" applyAlignment="1" pivotButton="0" quotePrefix="0" xfId="0">
      <alignment horizontal="right" vertical="center"/>
    </xf>
    <xf numFmtId="164" fontId="5" fillId="13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4" fontId="5" fillId="12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4" fontId="5" fillId="14" borderId="2" applyAlignment="1" pivotButton="0" quotePrefix="0" xfId="0">
      <alignment horizontal="right" vertical="center"/>
    </xf>
    <xf numFmtId="164" fontId="11" fillId="4" borderId="3" applyAlignment="1" pivotButton="0" quotePrefix="0" xfId="0">
      <alignment horizontal="right" vertical="center"/>
    </xf>
    <xf numFmtId="164" fontId="7" fillId="13" borderId="2" applyAlignment="1" pivotButton="0" quotePrefix="0" xfId="0">
      <alignment horizontal="right" vertical="center"/>
    </xf>
    <xf numFmtId="165" fontId="15" fillId="13" borderId="2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64" fontId="7" fillId="12" borderId="2" applyAlignment="1" pivotButton="0" quotePrefix="0" xfId="0">
      <alignment horizontal="right" vertical="center"/>
    </xf>
    <xf numFmtId="165" fontId="15" fillId="12" borderId="2" applyAlignment="1" pivotButton="0" quotePrefix="0" xfId="0">
      <alignment horizontal="right" vertical="center"/>
    </xf>
    <xf numFmtId="164" fontId="7" fillId="14" borderId="2" applyAlignment="1" pivotButton="0" quotePrefix="0" xfId="0">
      <alignment horizontal="right" vertical="center"/>
    </xf>
    <xf numFmtId="165" fontId="15" fillId="14" borderId="2" applyAlignment="1" pivotButton="0" quotePrefix="0" xfId="0">
      <alignment horizontal="right" vertical="center"/>
    </xf>
    <xf numFmtId="0" fontId="1" fillId="8" borderId="0" applyAlignment="1" pivotButton="0" quotePrefix="0" xfId="0">
      <alignment horizontal="left" vertical="center" indent="1"/>
    </xf>
    <xf numFmtId="0" fontId="11" fillId="5" borderId="2" applyAlignment="1" pivotButton="0" quotePrefix="0" xfId="0">
      <alignment horizontal="left" vertical="center"/>
    </xf>
    <xf numFmtId="164" fontId="11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 indent="2"/>
    </xf>
    <xf numFmtId="165" fontId="5" fillId="5" borderId="2" applyAlignment="1" pivotButton="0" quotePrefix="0" xfId="0">
      <alignment horizontal="right" vertical="center"/>
    </xf>
    <xf numFmtId="164" fontId="11" fillId="13" borderId="2" applyAlignment="1" pivotButton="0" quotePrefix="0" xfId="0">
      <alignment horizontal="right" vertical="center"/>
    </xf>
    <xf numFmtId="164" fontId="11" fillId="12" borderId="2" applyAlignment="1" pivotButton="0" quotePrefix="0" xfId="0">
      <alignment horizontal="right" vertical="center"/>
    </xf>
    <xf numFmtId="164" fontId="11" fillId="15" borderId="2" applyAlignment="1" pivotButton="0" quotePrefix="0" xfId="0">
      <alignment horizontal="right" vertical="center"/>
    </xf>
    <xf numFmtId="165" fontId="5" fillId="15" borderId="2" applyAlignment="1" pivotButton="0" quotePrefix="0" xfId="0">
      <alignment horizontal="right" vertical="center"/>
    </xf>
    <xf numFmtId="0" fontId="11" fillId="16" borderId="2" applyAlignment="1" pivotButton="0" quotePrefix="0" xfId="0">
      <alignment horizontal="left" vertical="center"/>
    </xf>
    <xf numFmtId="164" fontId="11" fillId="16" borderId="2" applyAlignment="1" pivotButton="0" quotePrefix="0" xfId="0">
      <alignment horizontal="right" vertical="center"/>
    </xf>
    <xf numFmtId="165" fontId="11" fillId="16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4" fontId="15" fillId="5" borderId="2" applyAlignment="1" pivotButton="0" quotePrefix="0" xfId="0">
      <alignment horizontal="right" vertical="center"/>
    </xf>
    <xf numFmtId="0" fontId="0" fillId="5" borderId="2" pivotButton="0" quotePrefix="0" xfId="0"/>
    <xf numFmtId="164" fontId="7" fillId="11" borderId="2" applyAlignment="1" pivotButton="0" quotePrefix="0" xfId="0">
      <alignment horizontal="right" vertical="center"/>
    </xf>
    <xf numFmtId="165" fontId="7" fillId="11" borderId="2" applyAlignment="1" pivotButton="0" quotePrefix="0" xfId="0">
      <alignment horizontal="right" vertical="center"/>
    </xf>
    <xf numFmtId="165" fontId="7" fillId="13" borderId="2" applyAlignment="1" pivotButton="0" quotePrefix="0" xfId="0">
      <alignment horizontal="right" vertical="center"/>
    </xf>
    <xf numFmtId="164" fontId="19" fillId="3" borderId="2" applyAlignment="1" pivotButton="0" quotePrefix="0" xfId="0">
      <alignment horizontal="right" vertical="center"/>
    </xf>
    <xf numFmtId="0" fontId="0" fillId="3" borderId="2" pivotButton="0" quotePrefix="0" xfId="0"/>
    <xf numFmtId="164" fontId="15" fillId="3" borderId="2" applyAlignment="1" pivotButton="0" quotePrefix="0" xfId="0">
      <alignment horizontal="right" vertical="center"/>
    </xf>
    <xf numFmtId="0" fontId="1" fillId="9" borderId="0" applyAlignment="1" pivotButton="0" quotePrefix="0" xfId="0">
      <alignment horizontal="left" vertical="center" indent="1"/>
    </xf>
    <xf numFmtId="0" fontId="8" fillId="1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/>
    </xf>
    <xf numFmtId="164" fontId="20" fillId="13" borderId="2" applyAlignment="1" pivotButton="0" quotePrefix="0" xfId="0">
      <alignment horizontal="right" vertical="center"/>
    </xf>
    <xf numFmtId="164" fontId="21" fillId="13" borderId="2" applyAlignment="1" pivotButton="0" quotePrefix="0" xfId="0">
      <alignment horizontal="right" vertical="center"/>
    </xf>
    <xf numFmtId="164" fontId="22" fillId="13" borderId="2" applyAlignment="1" pivotButton="0" quotePrefix="0" xfId="0">
      <alignment horizontal="right" vertical="center"/>
    </xf>
    <xf numFmtId="164" fontId="20" fillId="15" borderId="2" applyAlignment="1" pivotButton="0" quotePrefix="0" xfId="0">
      <alignment horizontal="right" vertical="center"/>
    </xf>
    <xf numFmtId="164" fontId="23" fillId="13" borderId="2" applyAlignment="1" pivotButton="0" quotePrefix="0" xfId="0">
      <alignment horizontal="right" vertical="center"/>
    </xf>
    <xf numFmtId="0" fontId="20" fillId="5" borderId="2" applyAlignment="1" pivotButton="0" quotePrefix="0" xfId="0">
      <alignment horizontal="center" vertical="center"/>
    </xf>
    <xf numFmtId="164" fontId="20" fillId="5" borderId="2" applyAlignment="1" pivotButton="0" quotePrefix="0" xfId="0">
      <alignment horizontal="right" vertical="center"/>
    </xf>
    <xf numFmtId="164" fontId="21" fillId="5" borderId="2" applyAlignment="1" pivotButton="0" quotePrefix="0" xfId="0">
      <alignment horizontal="right" vertical="center"/>
    </xf>
    <xf numFmtId="164" fontId="22" fillId="5" borderId="2" applyAlignment="1" pivotButton="0" quotePrefix="0" xfId="0">
      <alignment horizontal="right" vertical="center"/>
    </xf>
    <xf numFmtId="164" fontId="23" fillId="5" borderId="2" applyAlignment="1" pivotButton="0" quotePrefix="0" xfId="0">
      <alignment horizontal="right" vertical="center"/>
    </xf>
    <xf numFmtId="164" fontId="22" fillId="15" borderId="2" applyAlignment="1" pivotButton="0" quotePrefix="0" xfId="0">
      <alignment horizontal="right" vertical="center"/>
    </xf>
    <xf numFmtId="0" fontId="5" fillId="16" borderId="3" applyAlignment="1" pivotButton="0" quotePrefix="0" xfId="0">
      <alignment horizontal="left" vertical="center"/>
    </xf>
    <xf numFmtId="0" fontId="11" fillId="16" borderId="3" applyAlignment="1" pivotButton="0" quotePrefix="0" xfId="0">
      <alignment horizontal="left" vertical="center"/>
    </xf>
    <xf numFmtId="164" fontId="7" fillId="16" borderId="3" applyAlignment="1" pivotButton="0" quotePrefix="0" xfId="0">
      <alignment horizontal="right" vertical="center"/>
    </xf>
    <xf numFmtId="164" fontId="24" fillId="16" borderId="3" applyAlignment="1" pivotButton="0" quotePrefix="0" xfId="0">
      <alignment horizontal="right" vertical="center"/>
    </xf>
    <xf numFmtId="0" fontId="20" fillId="12" borderId="2" applyAlignment="1" pivotButton="0" quotePrefix="0" xfId="0">
      <alignment horizontal="center" vertical="center"/>
    </xf>
    <xf numFmtId="164" fontId="20" fillId="12" borderId="2" applyAlignment="1" pivotButton="0" quotePrefix="0" xfId="0">
      <alignment horizontal="right" vertical="center"/>
    </xf>
    <xf numFmtId="164" fontId="21" fillId="12" borderId="2" applyAlignment="1" pivotButton="0" quotePrefix="0" xfId="0">
      <alignment horizontal="right" vertical="center"/>
    </xf>
    <xf numFmtId="164" fontId="23" fillId="12" borderId="2" applyAlignment="1" pivotButton="0" quotePrefix="0" xfId="0">
      <alignment horizontal="right" vertical="center"/>
    </xf>
    <xf numFmtId="164" fontId="11" fillId="16" borderId="3" applyAlignment="1" pivotButton="0" quotePrefix="0" xfId="0">
      <alignment horizontal="right" vertical="center"/>
    </xf>
    <xf numFmtId="0" fontId="20" fillId="14" borderId="2" applyAlignment="1" pivotButton="0" quotePrefix="0" xfId="0">
      <alignment horizontal="center" vertical="center"/>
    </xf>
    <xf numFmtId="164" fontId="20" fillId="14" borderId="2" applyAlignment="1" pivotButton="0" quotePrefix="0" xfId="0">
      <alignment horizontal="right" vertical="center"/>
    </xf>
    <xf numFmtId="164" fontId="21" fillId="14" borderId="2" applyAlignment="1" pivotButton="0" quotePrefix="0" xfId="0">
      <alignment horizontal="right" vertical="center"/>
    </xf>
    <xf numFmtId="164" fontId="23" fillId="1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6B58"/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8" customWidth="1" min="5" max="5"/>
  </cols>
  <sheetData>
    <row r="1" ht="26" customHeight="1">
      <c r="A1" s="1" t="inlineStr">
        <is>
          <t>Водна Оценка · Агенционен Канал — Допускания</t>
        </is>
      </c>
    </row>
    <row r="2" ht="14" customHeight="1">
      <c r="A2" s="2" t="inlineStr">
        <is>
          <t>Редактирайте светлозелените клетки — формулите в „Резюме" се актуализират автоматично</t>
        </is>
      </c>
    </row>
    <row r="3" ht="8" customHeight="1"/>
    <row r="4" ht="17" customHeight="1">
      <c r="A4" s="3" t="inlineStr">
        <is>
          <t>Параметър</t>
        </is>
      </c>
      <c r="B4" s="4" t="inlineStr">
        <is>
          <t>Година 1</t>
        </is>
      </c>
      <c r="C4" s="4" t="inlineStr">
        <is>
          <t>Година 2</t>
        </is>
      </c>
      <c r="D4" s="4" t="inlineStr">
        <is>
          <t>Година 3</t>
        </is>
      </c>
      <c r="E4" s="3" t="inlineStr">
        <is>
          <t>Бележка</t>
        </is>
      </c>
    </row>
    <row r="5" ht="17" customHeight="1">
      <c r="A5" s="5" t="inlineStr">
        <is>
          <t>ОБЕМ  (брой обекти на година)</t>
        </is>
      </c>
    </row>
    <row r="6" ht="16" customHeight="1">
      <c r="A6" s="6" t="inlineStr">
        <is>
          <t>Обявни оценки</t>
        </is>
      </c>
      <c r="B6" s="7" t="n">
        <v>300</v>
      </c>
      <c r="C6" s="7" t="n">
        <v>1100</v>
      </c>
      <c r="D6" s="7" t="n">
        <v>2600</v>
      </c>
      <c r="E6" s="8" t="inlineStr">
        <is>
          <t>Обявна оценка — агенционен абонамент</t>
        </is>
      </c>
    </row>
    <row r="7" ht="16" customHeight="1">
      <c r="A7" s="6" t="inlineStr">
        <is>
          <t>Купувачски проверки</t>
        </is>
      </c>
      <c r="B7" s="7" t="n">
        <v>40</v>
      </c>
      <c r="C7" s="7" t="n">
        <v>160</v>
      </c>
      <c r="D7" s="7" t="n">
        <v>400</v>
      </c>
      <c r="E7" s="8" t="inlineStr">
        <is>
          <t>Купувачска проверка с гаранция</t>
        </is>
      </c>
    </row>
    <row r="8" ht="16" customHeight="1">
      <c r="A8" s="6" t="inlineStr">
        <is>
          <t>Кабинетни справки</t>
        </is>
      </c>
      <c r="B8" s="7" t="n">
        <v>0</v>
      </c>
      <c r="C8" s="7" t="n">
        <v>150</v>
      </c>
      <c r="D8" s="7" t="n">
        <v>600</v>
      </c>
      <c r="E8" s="8" t="inlineStr">
        <is>
          <t>Само от покрити райони (Г2+)</t>
        </is>
      </c>
    </row>
    <row r="9" ht="17" customHeight="1">
      <c r="A9" s="9" t="inlineStr">
        <is>
          <t>ЦЕНИ НЕТО  (€ без ДДС — постъпление към вас)</t>
        </is>
      </c>
    </row>
    <row r="10" ht="16" customHeight="1">
      <c r="A10" s="6" t="inlineStr">
        <is>
          <t>Обявна оценка (ср. при абонамент)</t>
        </is>
      </c>
      <c r="B10" s="10" t="n">
        <v>152</v>
      </c>
      <c r="C10" s="11" t="n"/>
      <c r="E10" s="8" t="inlineStr">
        <is>
          <t>Пакет S €190 → L €150, ср. ~€160</t>
        </is>
      </c>
    </row>
    <row r="11" ht="16" customHeight="1">
      <c r="A11" s="6" t="inlineStr">
        <is>
          <t>Купувачска проверка</t>
        </is>
      </c>
      <c r="B11" s="10" t="n">
        <v>272</v>
      </c>
      <c r="C11" s="11" t="n"/>
      <c r="E11" s="8" t="inlineStr">
        <is>
          <t>€390 с ДДС → €325 нето</t>
        </is>
      </c>
    </row>
    <row r="12" ht="16" customHeight="1">
      <c r="A12" s="6" t="inlineStr">
        <is>
          <t>Кабинетна справка</t>
        </is>
      </c>
      <c r="B12" s="10" t="n">
        <v>52</v>
      </c>
      <c r="C12" s="11" t="n"/>
      <c r="E12" s="8" t="inlineStr">
        <is>
          <t>€59 с ДДС → €49 нето</t>
        </is>
      </c>
    </row>
    <row r="13" ht="17" customHeight="1">
      <c r="A13" s="12" t="inlineStr">
        <is>
          <t>ПРЕКИ РАЗХОДИ  (€ на обект)</t>
        </is>
      </c>
    </row>
    <row r="14" ht="16" customHeight="1">
      <c r="A14" s="6" t="inlineStr">
        <is>
          <t>Обявна оценка</t>
        </is>
      </c>
      <c r="B14" s="10" t="n">
        <v>18</v>
      </c>
      <c r="C14" s="11" t="n"/>
      <c r="E14" s="8" t="inlineStr">
        <is>
          <t>Гориво ~€8 + консумативи ~€10</t>
        </is>
      </c>
    </row>
    <row r="15" ht="16" customHeight="1">
      <c r="A15" s="6" t="inlineStr">
        <is>
          <t>Купувачска проверка</t>
        </is>
      </c>
      <c r="B15" s="10" t="n">
        <v>44</v>
      </c>
      <c r="C15" s="11" t="n"/>
      <c r="E15" s="8" t="inlineStr">
        <is>
          <t>Три профила, по-дълго на терен</t>
        </is>
      </c>
    </row>
    <row r="16" ht="16" customHeight="1">
      <c r="A16" s="6" t="inlineStr">
        <is>
          <t>Кабинетна справка</t>
        </is>
      </c>
      <c r="B16" s="10" t="n">
        <v>3</v>
      </c>
      <c r="C16" s="11" t="n"/>
      <c r="E16" s="8" t="inlineStr">
        <is>
          <t>Само 20 мин бюро-работа</t>
        </is>
      </c>
    </row>
    <row r="17" ht="17" customHeight="1">
      <c r="A17" s="5" t="inlineStr">
        <is>
          <t>ПЕРСОНАЛ</t>
        </is>
      </c>
    </row>
    <row r="18" ht="16" customHeight="1">
      <c r="A18" s="6" t="inlineStr">
        <is>
          <t>Брой оператори (бр.)</t>
        </is>
      </c>
      <c r="B18" s="7" t="n">
        <v>1</v>
      </c>
      <c r="C18" s="7" t="n">
        <v>2</v>
      </c>
      <c r="D18" s="7" t="n">
        <v>4</v>
      </c>
      <c r="E18" s="8" t="inlineStr">
        <is>
          <t>Пълен работен ден с кола и уред</t>
        </is>
      </c>
    </row>
    <row r="19" ht="16" customHeight="1">
      <c r="A19" s="6" t="inlineStr">
        <is>
          <t>Разход/оператор/месец (бруто работодател)</t>
        </is>
      </c>
      <c r="B19" s="10" t="n">
        <v>2600</v>
      </c>
      <c r="C19" s="11" t="n"/>
      <c r="E19" s="8" t="inlineStr">
        <is>
          <t>Заплата + осигуровки ~38%</t>
        </is>
      </c>
    </row>
    <row r="20" ht="17" customHeight="1">
      <c r="A20" s="9" t="inlineStr">
        <is>
          <t>ПОСТОЯННИ РАЗХОДИ  (€ / месец)</t>
        </is>
      </c>
    </row>
    <row r="21" ht="16" customHeight="1">
      <c r="A21" s="6" t="inlineStr">
        <is>
          <t>Маркетинг</t>
        </is>
      </c>
      <c r="B21" s="7" t="n">
        <v>700</v>
      </c>
      <c r="C21" s="7" t="n">
        <v>1500</v>
      </c>
      <c r="D21" s="7" t="n">
        <v>2600</v>
      </c>
      <c r="E21" s="8" t="inlineStr">
        <is>
          <t>Google Ads, SEO, визитки, изложения</t>
        </is>
      </c>
    </row>
    <row r="22" ht="16" customHeight="1">
      <c r="A22" s="6" t="inlineStr">
        <is>
          <t>Автомобил (гориво + поддръжка)</t>
        </is>
      </c>
      <c r="B22" s="10" t="n">
        <v>250</v>
      </c>
      <c r="C22" s="11" t="n"/>
      <c r="E22" s="8" t="inlineStr">
        <is>
          <t>Колата е купена от началния капитал</t>
        </is>
      </c>
    </row>
    <row r="23" ht="16" customHeight="1">
      <c r="A23" s="6" t="inlineStr">
        <is>
          <t>Застраховки (проф. отговорност + ГО)</t>
        </is>
      </c>
      <c r="B23" s="10" t="n">
        <v>180</v>
      </c>
      <c r="C23" s="11" t="n"/>
    </row>
    <row r="24" ht="16" customHeight="1">
      <c r="A24" s="6" t="inlineStr">
        <is>
          <t>Счетоводство + офис</t>
        </is>
      </c>
      <c r="B24" s="10" t="n">
        <v>300</v>
      </c>
      <c r="C24" s="11" t="n"/>
    </row>
    <row r="25" ht="17" customHeight="1">
      <c r="A25" s="13" t="inlineStr">
        <is>
          <t>СТАРТОВИ РАЗХОДИ  (еднократно, Месец 1)</t>
        </is>
      </c>
    </row>
    <row r="26" ht="16" customHeight="1">
      <c r="A26" s="6" t="inlineStr">
        <is>
          <t>Геофизичен уред (NEF апаратура)</t>
        </is>
      </c>
      <c r="B26" s="10" t="n">
        <v>5000</v>
      </c>
      <c r="C26" s="11" t="n"/>
      <c r="E26" s="8" t="inlineStr">
        <is>
          <t>Или лизинг ~€150/м → по-нисък стартов кеш</t>
        </is>
      </c>
    </row>
    <row r="27" ht="16" customHeight="1">
      <c r="A27" s="6" t="inlineStr">
        <is>
          <t>Лек автомобил (покупка)</t>
        </is>
      </c>
      <c r="B27" s="10" t="n">
        <v>8000</v>
      </c>
      <c r="C27" s="11" t="n"/>
      <c r="E27" s="8" t="inlineStr">
        <is>
          <t>Алт.: лизинг €350/м</t>
        </is>
      </c>
    </row>
    <row r="28" ht="16" customHeight="1">
      <c r="A28" s="6" t="inlineStr">
        <is>
          <t>Юридически договори + сайт + бранд</t>
        </is>
      </c>
      <c r="B28" s="10" t="n">
        <v>2500</v>
      </c>
      <c r="C28" s="11" t="n"/>
    </row>
    <row r="29" ht="17" customHeight="1">
      <c r="A29" s="14" t="inlineStr">
        <is>
          <t>НАЧАЛЕН КАПИТАЛ</t>
        </is>
      </c>
    </row>
    <row r="30" ht="16" customHeight="1">
      <c r="A30" s="6" t="inlineStr">
        <is>
          <t>Начална каса (собствен капитал / заем)</t>
        </is>
      </c>
      <c r="B30" s="10" t="n">
        <v>22000</v>
      </c>
      <c r="C30" s="11" t="n"/>
    </row>
    <row r="31" ht="16" customHeight="1">
      <c r="A31" s="15" t="inlineStr">
        <is>
          <t>Нетен буфер след стартови разходи</t>
        </is>
      </c>
      <c r="B31" s="16" t="n">
        <v>6500</v>
      </c>
      <c r="C31" s="17" t="n"/>
    </row>
    <row r="33" ht="30" customHeight="1">
      <c r="A33" s="18" t="inlineStr">
        <is>
          <t>⚠  Листът „Резюме" използва формули, свързани с тези клетки. При промяна на стойностите тук, „Резюме" се актуализира автоматично. Листовете „Приходи", „Разходи" и „Парични потоци" отразяват базовите стойности (изчислени при генериране).</t>
        </is>
      </c>
    </row>
  </sheetData>
  <mergeCells count="25">
    <mergeCell ref="C24:D24"/>
    <mergeCell ref="C30:D30"/>
    <mergeCell ref="C15:D15"/>
    <mergeCell ref="C14:D14"/>
    <mergeCell ref="A1:E1"/>
    <mergeCell ref="C26:D26"/>
    <mergeCell ref="C10:D10"/>
    <mergeCell ref="C16:D16"/>
    <mergeCell ref="A25:E25"/>
    <mergeCell ref="C22:D22"/>
    <mergeCell ref="C31:D31"/>
    <mergeCell ref="C12:D12"/>
    <mergeCell ref="A2:E2"/>
    <mergeCell ref="C11:D11"/>
    <mergeCell ref="C27:D27"/>
    <mergeCell ref="A33:E33"/>
    <mergeCell ref="A5:E5"/>
    <mergeCell ref="C23:D23"/>
    <mergeCell ref="A17:E17"/>
    <mergeCell ref="A29:E29"/>
    <mergeCell ref="A20:E20"/>
    <mergeCell ref="C19:D19"/>
    <mergeCell ref="C28:D28"/>
    <mergeCell ref="A13:E13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2B0"/>
    <outlinePr summaryBelow="1" summaryRight="1"/>
    <pageSetUpPr/>
  </sheetPr>
  <dimension ref="A1:E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26" customHeight="1">
      <c r="A1" s="19" t="inlineStr">
        <is>
          <t>Водна Оценка · Агенционен Канал — Резюме</t>
        </is>
      </c>
    </row>
    <row r="2" ht="10" customHeight="1"/>
    <row r="3" ht="14" customHeight="1">
      <c r="A3" s="20" t="inlineStr">
        <is>
          <t>Всички стойности без ДДС, в евро. Формулите са свързани с листа „Допускания".</t>
        </is>
      </c>
    </row>
    <row r="4" ht="18" customHeight="1">
      <c r="A4" s="21" t="inlineStr">
        <is>
          <t>Приходи и разходи</t>
        </is>
      </c>
      <c r="B4" s="22" t="inlineStr">
        <is>
          <t>Година 1</t>
        </is>
      </c>
      <c r="C4" s="22" t="inlineStr">
        <is>
          <t>Година 2</t>
        </is>
      </c>
      <c r="D4" s="22" t="inlineStr">
        <is>
          <t>Година 3</t>
        </is>
      </c>
      <c r="E4" s="21" t="inlineStr">
        <is>
          <t>Бележка</t>
        </is>
      </c>
    </row>
    <row r="5" ht="17" customHeight="1">
      <c r="A5" s="5" t="inlineStr">
        <is>
          <t>ПРИХОДИ</t>
        </is>
      </c>
    </row>
    <row r="6" ht="16" customHeight="1">
      <c r="A6" s="6" t="inlineStr">
        <is>
          <t>Обявни оценки (агенционен канал)</t>
        </is>
      </c>
      <c r="B6" s="23">
        <f>'Допускания'!B6*'Допускания'!B10</f>
        <v/>
      </c>
      <c r="C6" s="23">
        <f>'Допускания'!C6*'Допускания'!B10</f>
        <v/>
      </c>
      <c r="D6" s="23">
        <f>'Допускания'!D6*'Допускания'!B10</f>
        <v/>
      </c>
      <c r="E6" s="24" t="inlineStr">
        <is>
          <t>Листингови оценки: обем × цена</t>
        </is>
      </c>
    </row>
    <row r="7" ht="16" customHeight="1">
      <c r="A7" s="6" t="inlineStr">
        <is>
          <t>Купувачски проверки</t>
        </is>
      </c>
      <c r="B7" s="23">
        <f>'Допускания'!B7*'Допускания'!B11</f>
        <v/>
      </c>
      <c r="C7" s="23">
        <f>'Допускания'!C7*'Допускания'!B11</f>
        <v/>
      </c>
      <c r="D7" s="23">
        <f>'Допускания'!D7*'Допускания'!B11</f>
        <v/>
      </c>
      <c r="E7" s="24" t="inlineStr">
        <is>
          <t>Купувачски: по-дълбока проверка</t>
        </is>
      </c>
    </row>
    <row r="8" ht="16" customHeight="1">
      <c r="A8" s="6" t="inlineStr">
        <is>
          <t>Кабинетни справки</t>
        </is>
      </c>
      <c r="B8" s="23">
        <f>'Допускания'!B8*'Допускания'!B12</f>
        <v/>
      </c>
      <c r="C8" s="23">
        <f>'Допускания'!C8*'Допускания'!B12</f>
        <v/>
      </c>
      <c r="D8" s="23">
        <f>'Допускания'!D8*'Допускания'!B12</f>
        <v/>
      </c>
      <c r="E8" s="24" t="inlineStr">
        <is>
          <t>Кабинетни: от натрупана база данни</t>
        </is>
      </c>
    </row>
    <row r="9" ht="17" customHeight="1">
      <c r="A9" s="25" t="inlineStr">
        <is>
          <t>Общо приходи</t>
        </is>
      </c>
      <c r="B9" s="26">
        <f>SUM(B6:B8)</f>
        <v/>
      </c>
      <c r="C9" s="26">
        <f>SUM(C6:C8)</f>
        <v/>
      </c>
      <c r="D9" s="26">
        <f>SUM(D6:D8)</f>
        <v/>
      </c>
      <c r="E9" s="24" t="inlineStr">
        <is>
          <t>Сумарен приход</t>
        </is>
      </c>
    </row>
    <row r="10" ht="17" customHeight="1">
      <c r="A10" s="12" t="inlineStr">
        <is>
          <t>ПРЕКИ РАЗХОДИ</t>
        </is>
      </c>
    </row>
    <row r="11" ht="16" customHeight="1">
      <c r="A11" s="6" t="inlineStr">
        <is>
          <t>Обявни оценки</t>
        </is>
      </c>
      <c r="B11" s="23">
        <f>'Допускания'!B6*'Допускания'!B14</f>
        <v/>
      </c>
      <c r="C11" s="23">
        <f>'Допускания'!C6*'Допускания'!B14</f>
        <v/>
      </c>
      <c r="D11" s="23">
        <f>'Допускания'!D6*'Допускания'!B14</f>
        <v/>
      </c>
      <c r="E11" s="24" t="inlineStr">
        <is>
          <t>Директни разходи за измерване</t>
        </is>
      </c>
    </row>
    <row r="12" ht="16" customHeight="1">
      <c r="A12" s="6" t="inlineStr">
        <is>
          <t>Купувачски проверки</t>
        </is>
      </c>
      <c r="B12" s="23">
        <f>'Допускания'!B7*'Допускания'!B15</f>
        <v/>
      </c>
      <c r="C12" s="23">
        <f>'Допускания'!C7*'Допускания'!B15</f>
        <v/>
      </c>
      <c r="D12" s="23">
        <f>'Допускания'!D7*'Допускания'!B15</f>
        <v/>
      </c>
      <c r="E12" s="24" t="inlineStr">
        <is>
          <t>Включва 3 профила + документи</t>
        </is>
      </c>
    </row>
    <row r="13" ht="16" customHeight="1">
      <c r="A13" s="6" t="inlineStr">
        <is>
          <t>Кабинетни справки</t>
        </is>
      </c>
      <c r="B13" s="23">
        <f>'Допускания'!B8*'Допускания'!B16</f>
        <v/>
      </c>
      <c r="C13" s="23">
        <f>'Допускания'!C8*'Допускания'!B16</f>
        <v/>
      </c>
      <c r="D13" s="23">
        <f>'Допускания'!D8*'Допускания'!B16</f>
        <v/>
      </c>
      <c r="E13" s="24" t="inlineStr">
        <is>
          <t>Само бюро-работа, без терен</t>
        </is>
      </c>
    </row>
    <row r="14" ht="17" customHeight="1">
      <c r="A14" s="27" t="inlineStr">
        <is>
          <t>Общо преки разходи</t>
        </is>
      </c>
      <c r="B14" s="28">
        <f>SUM(B11:B13)</f>
        <v/>
      </c>
      <c r="C14" s="28">
        <f>SUM(C11:C13)</f>
        <v/>
      </c>
      <c r="D14" s="28">
        <f>SUM(D11:D13)</f>
        <v/>
      </c>
      <c r="E14" s="24" t="inlineStr">
        <is>
          <t>Директни разходи общо</t>
        </is>
      </c>
    </row>
    <row r="15" ht="18" customHeight="1">
      <c r="A15" s="29" t="inlineStr">
        <is>
          <t>БРУТНА ПЕЧАЛБА</t>
        </is>
      </c>
      <c r="B15" s="30">
        <f>B9-B14</f>
        <v/>
      </c>
      <c r="C15" s="30">
        <f>C9-C14</f>
        <v/>
      </c>
      <c r="D15" s="30">
        <f>D9-D14</f>
        <v/>
      </c>
      <c r="E15" s="24" t="inlineStr">
        <is>
          <t>Приход − директни разходи</t>
        </is>
      </c>
    </row>
    <row r="16" ht="15" customHeight="1">
      <c r="A16" s="6" t="inlineStr">
        <is>
          <t xml:space="preserve">  Брутен марж (%)</t>
        </is>
      </c>
      <c r="B16" s="31">
        <f>IF(B9=0,0,B15/B9)</f>
        <v/>
      </c>
      <c r="C16" s="31">
        <f>IF(C9=0,0,C15/C9)</f>
        <v/>
      </c>
      <c r="D16" s="31">
        <f>IF(D9=0,0,D15/D9)</f>
        <v/>
      </c>
    </row>
    <row r="17" ht="17" customHeight="1">
      <c r="A17" s="9" t="inlineStr">
        <is>
          <t>ОПЕРАТИВНИ РАЗХОДИ</t>
        </is>
      </c>
    </row>
    <row r="18" ht="16" customHeight="1">
      <c r="A18" s="6" t="inlineStr">
        <is>
          <t>Оператори</t>
        </is>
      </c>
      <c r="B18" s="23">
        <f>'Допускания'!B18*'Допускания'!B19*12</f>
        <v/>
      </c>
      <c r="C18" s="23">
        <f>'Допускания'!C18*'Допускания'!B19*12</f>
        <v/>
      </c>
      <c r="D18" s="23">
        <f>'Допускания'!D18*'Допускания'!B19*12</f>
        <v/>
      </c>
      <c r="E18" s="24" t="inlineStr">
        <is>
          <t>Google Ads, препоръки, изложения</t>
        </is>
      </c>
    </row>
    <row r="19" ht="16" customHeight="1">
      <c r="A19" s="6" t="inlineStr">
        <is>
          <t>Маркетинг</t>
        </is>
      </c>
      <c r="B19" s="23">
        <f>'Допускания'!B21*12</f>
        <v/>
      </c>
      <c r="C19" s="23">
        <f>'Допускания'!C21*12</f>
        <v/>
      </c>
      <c r="D19" s="23">
        <f>'Допускания'!D21*12</f>
        <v/>
      </c>
      <c r="E19" s="24" t="inlineStr">
        <is>
          <t>Автомобил + застраховки + счетоводство</t>
        </is>
      </c>
    </row>
    <row r="20" ht="16" customHeight="1">
      <c r="A20" s="6" t="inlineStr">
        <is>
          <t>Постоянни (кола + застр. + счет.)</t>
        </is>
      </c>
      <c r="B20" s="23">
        <f>('Допускания'!B22+'Допускания'!B23+'Допускания'!B24)*12</f>
        <v/>
      </c>
      <c r="C20" s="23">
        <f>('Допускания'!B22+'Допускания'!B23+'Допускания'!B24)*12</f>
        <v/>
      </c>
      <c r="D20" s="23">
        <f>('Допускания'!B22+'Допускания'!B23+'Допускания'!B24)*12</f>
        <v/>
      </c>
      <c r="E20" s="24" t="inlineStr">
        <is>
          <t>Оперативни разходи общо</t>
        </is>
      </c>
    </row>
    <row r="21" ht="17" customHeight="1">
      <c r="A21" s="32" t="inlineStr">
        <is>
          <t>Общо оперативни разходи</t>
        </is>
      </c>
      <c r="B21" s="33">
        <f>SUM(B18:B20)</f>
        <v/>
      </c>
      <c r="C21" s="33">
        <f>SUM(C18:C20)</f>
        <v/>
      </c>
      <c r="D21" s="33">
        <f>SUM(D18:D20)</f>
        <v/>
      </c>
      <c r="E21" s="24" t="inlineStr">
        <is>
          <t>Брутна печалба − оперативни разходи</t>
        </is>
      </c>
    </row>
    <row r="22" ht="19" customHeight="1">
      <c r="A22" s="34" t="inlineStr">
        <is>
          <t>EBITDA</t>
        </is>
      </c>
      <c r="B22" s="35">
        <f>B15-B21</f>
        <v/>
      </c>
      <c r="C22" s="35">
        <f>C15-C21</f>
        <v/>
      </c>
      <c r="D22" s="35">
        <f>D15-D21</f>
        <v/>
      </c>
    </row>
    <row r="23" ht="15" customHeight="1">
      <c r="A23" s="6" t="inlineStr">
        <is>
          <t xml:space="preserve">  EBITDA марж (%)</t>
        </is>
      </c>
      <c r="B23" s="36">
        <f>IF(B9=0,0,B22/B9)</f>
        <v/>
      </c>
      <c r="C23" s="36">
        <f>IF(C9=0,0,C22/C9)</f>
        <v/>
      </c>
      <c r="D23" s="36">
        <f>IF(D9=0,0,D22/D9)</f>
        <v/>
      </c>
      <c r="E23" s="24" t="inlineStr">
        <is>
          <t>Само Г1: уред + кола + юридически</t>
        </is>
      </c>
    </row>
    <row r="24" ht="17" customHeight="1">
      <c r="A24" s="13" t="inlineStr">
        <is>
          <t>СТАРТОВИ РАЗХОДИ И НЕТЕН ПАРИЧЕН ПОТОК</t>
        </is>
      </c>
    </row>
    <row r="25" ht="16" customHeight="1">
      <c r="A25" s="6" t="inlineStr">
        <is>
          <t>Стартови разходи (само Г1)</t>
        </is>
      </c>
      <c r="B25" s="23">
        <f>'Допускания'!B26+'Допускания'!B27+'Допускания'!B28</f>
        <v/>
      </c>
      <c r="C25" s="23" t="n">
        <v>0</v>
      </c>
      <c r="D25" s="23" t="n">
        <v>0</v>
      </c>
    </row>
    <row r="26" ht="19" customHeight="1">
      <c r="A26" s="37" t="inlineStr">
        <is>
          <t>НЕТЕН ПАРИЧЕН ПОТОК</t>
        </is>
      </c>
      <c r="B26" s="38">
        <f>B22-B25</f>
        <v/>
      </c>
      <c r="C26" s="38">
        <f>C22-C25</f>
        <v/>
      </c>
      <c r="D26" s="38">
        <f>D22-D25</f>
        <v/>
      </c>
    </row>
  </sheetData>
  <mergeCells count="6">
    <mergeCell ref="A24:E24"/>
    <mergeCell ref="A10:E10"/>
    <mergeCell ref="A1:E1"/>
    <mergeCell ref="A5:E5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A48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39" t="inlineStr">
        <is>
          <t>Водна Оценка · Приходи по продукт</t>
        </is>
      </c>
    </row>
    <row r="3" ht="17" customHeight="1">
      <c r="A3" s="5" t="inlineStr">
        <is>
          <t>ОБЕМ (брой обекти)</t>
        </is>
      </c>
    </row>
    <row r="4" ht="17" customHeight="1">
      <c r="A4" s="40" t="inlineStr">
        <is>
          <t>Продукт</t>
        </is>
      </c>
      <c r="B4" s="41" t="inlineStr">
        <is>
          <t>Година 1</t>
        </is>
      </c>
      <c r="C4" s="41" t="inlineStr">
        <is>
          <t>Година 2</t>
        </is>
      </c>
      <c r="D4" s="41" t="inlineStr">
        <is>
          <t>Година 3</t>
        </is>
      </c>
      <c r="E4" s="41" t="inlineStr">
        <is>
          <t>Ср. ръст</t>
        </is>
      </c>
      <c r="F4" s="41" t="inlineStr">
        <is>
          <t>Бележка</t>
        </is>
      </c>
    </row>
    <row r="5" ht="16" customHeight="1">
      <c r="A5" s="6" t="inlineStr">
        <is>
          <t>Обявни оценки</t>
        </is>
      </c>
      <c r="B5" s="42" t="n">
        <v>300</v>
      </c>
      <c r="C5" s="42" t="n">
        <v>1100</v>
      </c>
      <c r="D5" s="42" t="n">
        <v>2600</v>
      </c>
      <c r="E5" s="43" t="n">
        <v>1.943920288775949</v>
      </c>
      <c r="F5" s="8" t="inlineStr">
        <is>
          <t>300 → 1100 → 2600</t>
        </is>
      </c>
    </row>
    <row r="6" ht="16" customHeight="1">
      <c r="A6" s="6" t="inlineStr">
        <is>
          <t>Купувачски проверки</t>
        </is>
      </c>
      <c r="B6" s="44" t="n">
        <v>40</v>
      </c>
      <c r="C6" s="44" t="n">
        <v>160</v>
      </c>
      <c r="D6" s="44" t="n">
        <v>400</v>
      </c>
      <c r="E6" s="45" t="n">
        <v>2.16227766016838</v>
      </c>
      <c r="F6" s="8" t="inlineStr">
        <is>
          <t>40 → 160 → 400</t>
        </is>
      </c>
    </row>
    <row r="7" ht="16" customHeight="1">
      <c r="A7" s="6" t="inlineStr">
        <is>
          <t>Кабинетни справки</t>
        </is>
      </c>
      <c r="B7" s="46" t="n">
        <v>0</v>
      </c>
      <c r="C7" s="47" t="n">
        <v>150</v>
      </c>
      <c r="D7" s="47" t="n">
        <v>600</v>
      </c>
      <c r="E7" s="48" t="n">
        <v>0</v>
      </c>
      <c r="F7" s="8" t="inlineStr">
        <is>
          <t>0 → 150 → 600</t>
        </is>
      </c>
    </row>
    <row r="8" ht="16" customHeight="1">
      <c r="A8" s="49" t="inlineStr">
        <is>
          <t>Общо обекти</t>
        </is>
      </c>
      <c r="B8" s="50" t="n">
        <v>340</v>
      </c>
      <c r="C8" s="50" t="n">
        <v>1410</v>
      </c>
      <c r="D8" s="50" t="n">
        <v>3600</v>
      </c>
    </row>
    <row r="10" ht="17" customHeight="1">
      <c r="A10" s="9" t="inlineStr">
        <is>
          <t>ПРИХОДИ (€ нето)</t>
        </is>
      </c>
    </row>
    <row r="11" ht="17" customHeight="1">
      <c r="A11" s="40" t="inlineStr">
        <is>
          <t>Продукт</t>
        </is>
      </c>
      <c r="B11" s="41" t="inlineStr">
        <is>
          <t>Година 1</t>
        </is>
      </c>
      <c r="C11" s="41" t="inlineStr">
        <is>
          <t>Година 2</t>
        </is>
      </c>
      <c r="D11" s="41" t="inlineStr">
        <is>
          <t>Година 3</t>
        </is>
      </c>
      <c r="E11" s="41" t="inlineStr">
        <is>
          <t>Дял Г3</t>
        </is>
      </c>
      <c r="F11" s="41" t="inlineStr">
        <is>
          <t>Цена нето</t>
        </is>
      </c>
    </row>
    <row r="12" ht="16" customHeight="1">
      <c r="A12" s="6" t="inlineStr">
        <is>
          <t>Обявни оценки</t>
        </is>
      </c>
      <c r="B12" s="51" t="n">
        <v>45600</v>
      </c>
      <c r="C12" s="51" t="n">
        <v>167200</v>
      </c>
      <c r="D12" s="51" t="n">
        <v>395200</v>
      </c>
      <c r="E12" s="43" t="n">
        <v>0.7384155455904334</v>
      </c>
      <c r="F12" s="52" t="inlineStr">
        <is>
          <t>€152/оценка</t>
        </is>
      </c>
    </row>
    <row r="13" ht="16" customHeight="1">
      <c r="A13" s="6" t="inlineStr">
        <is>
          <t>Купувачски проверки</t>
        </is>
      </c>
      <c r="B13" s="53" t="n">
        <v>10880</v>
      </c>
      <c r="C13" s="53" t="n">
        <v>43520</v>
      </c>
      <c r="D13" s="53" t="n">
        <v>108800</v>
      </c>
      <c r="E13" s="45" t="n">
        <v>0.203288490284006</v>
      </c>
      <c r="F13" s="52" t="inlineStr">
        <is>
          <t>€272/проверка</t>
        </is>
      </c>
    </row>
    <row r="14" ht="16" customHeight="1">
      <c r="A14" s="6" t="inlineStr">
        <is>
          <t>Кабинетни справки</t>
        </is>
      </c>
      <c r="B14" s="54" t="n">
        <v>0</v>
      </c>
      <c r="C14" s="55" t="n">
        <v>7800</v>
      </c>
      <c r="D14" s="55" t="n">
        <v>31200</v>
      </c>
      <c r="E14" s="48" t="n">
        <v>0.05829596412556054</v>
      </c>
      <c r="F14" s="52" t="inlineStr">
        <is>
          <t>€52/справка</t>
        </is>
      </c>
    </row>
    <row r="15" ht="16" customHeight="1">
      <c r="A15" s="49" t="inlineStr">
        <is>
          <t>Общо приходи</t>
        </is>
      </c>
      <c r="B15" s="56" t="n">
        <v>56480</v>
      </c>
      <c r="C15" s="56" t="n">
        <v>218520</v>
      </c>
      <c r="D15" s="56" t="n">
        <v>535200</v>
      </c>
    </row>
    <row r="17" ht="17" customHeight="1">
      <c r="A17" s="12" t="inlineStr">
        <is>
          <t>ЕДИНИЧНА ИКОНОМИКА</t>
        </is>
      </c>
    </row>
    <row r="18" ht="17" customHeight="1">
      <c r="A18" s="40" t="inlineStr">
        <is>
          <t>Продукт</t>
        </is>
      </c>
      <c r="B18" s="41" t="inlineStr">
        <is>
          <t>Цена нето</t>
        </is>
      </c>
      <c r="C18" s="41" t="inlineStr">
        <is>
          <t>Пряк разход</t>
        </is>
      </c>
      <c r="D18" s="41" t="inlineStr">
        <is>
          <t>Принос/обект</t>
        </is>
      </c>
      <c r="E18" s="41" t="inlineStr">
        <is>
          <t>Марж</t>
        </is>
      </c>
      <c r="F18" s="41" t="inlineStr">
        <is>
          <t>Капацитет г/оп.</t>
        </is>
      </c>
    </row>
    <row r="19" ht="16" customHeight="1">
      <c r="A19" s="6" t="inlineStr">
        <is>
          <t>Обявна оценка</t>
        </is>
      </c>
      <c r="B19" s="51" t="n">
        <v>152</v>
      </c>
      <c r="C19" s="51" t="n">
        <v>18</v>
      </c>
      <c r="D19" s="57" t="n">
        <v>134</v>
      </c>
      <c r="E19" s="58" t="n">
        <v>0.881578947368421</v>
      </c>
      <c r="F19" s="59" t="inlineStr">
        <is>
          <t>~800 бр.</t>
        </is>
      </c>
    </row>
    <row r="20" ht="16" customHeight="1">
      <c r="A20" s="6" t="inlineStr">
        <is>
          <t>Купувачска проверка</t>
        </is>
      </c>
      <c r="B20" s="53" t="n">
        <v>272</v>
      </c>
      <c r="C20" s="53" t="n">
        <v>44</v>
      </c>
      <c r="D20" s="60" t="n">
        <v>228</v>
      </c>
      <c r="E20" s="61" t="n">
        <v>0.8382352941176471</v>
      </c>
      <c r="F20" s="59" t="inlineStr">
        <is>
          <t>~200 бр.</t>
        </is>
      </c>
    </row>
    <row r="21" ht="16" customHeight="1">
      <c r="A21" s="6" t="inlineStr">
        <is>
          <t>Кабинетна справка</t>
        </is>
      </c>
      <c r="B21" s="55" t="n">
        <v>52</v>
      </c>
      <c r="C21" s="55" t="n">
        <v>3</v>
      </c>
      <c r="D21" s="62" t="n">
        <v>49</v>
      </c>
      <c r="E21" s="63" t="n">
        <v>0.9423076923076923</v>
      </c>
      <c r="F21" s="59" t="inlineStr">
        <is>
          <t>Неограничено</t>
        </is>
      </c>
    </row>
  </sheetData>
  <mergeCells count="4">
    <mergeCell ref="A3:F3"/>
    <mergeCell ref="A1:F1"/>
    <mergeCell ref="A17:F17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7318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4" t="inlineStr">
        <is>
          <t>Водна Оценка · Разходна структура</t>
        </is>
      </c>
    </row>
    <row r="3" ht="17" customHeight="1">
      <c r="A3" s="12" t="inlineStr">
        <is>
          <t>СТРУКТУРА НА РАЗХОДИТЕ (€)</t>
        </is>
      </c>
    </row>
    <row r="4" ht="17" customHeight="1">
      <c r="A4" s="40" t="inlineStr">
        <is>
          <t>Категория</t>
        </is>
      </c>
      <c r="B4" s="41" t="inlineStr">
        <is>
          <t>Г1 (€)</t>
        </is>
      </c>
      <c r="C4" s="41" t="inlineStr">
        <is>
          <t>Г1 (%)</t>
        </is>
      </c>
      <c r="D4" s="41" t="inlineStr">
        <is>
          <t>Г2 (€)</t>
        </is>
      </c>
      <c r="E4" s="41" t="inlineStr">
        <is>
          <t>Г2 (%)</t>
        </is>
      </c>
      <c r="F4" s="41" t="inlineStr">
        <is>
          <t>Г3 (€)</t>
        </is>
      </c>
      <c r="G4" s="41" t="inlineStr">
        <is>
          <t>Г3 (%)</t>
        </is>
      </c>
    </row>
    <row r="5" ht="16" customHeight="1">
      <c r="A5" s="65" t="inlineStr">
        <is>
          <t>Преки разходи (сумарно)</t>
        </is>
      </c>
      <c r="B5" s="66" t="n">
        <v>7160</v>
      </c>
      <c r="C5" s="67" t="n">
        <v>0.1008166713601802</v>
      </c>
      <c r="D5" s="66" t="n">
        <v>27290</v>
      </c>
      <c r="E5" s="67" t="n">
        <v>0.234349506225848</v>
      </c>
      <c r="F5" s="66" t="n">
        <v>66200</v>
      </c>
      <c r="G5" s="67" t="n">
        <v>0.2866297194319363</v>
      </c>
    </row>
    <row r="6" ht="16" customHeight="1">
      <c r="A6" s="68" t="inlineStr">
        <is>
          <t xml:space="preserve">  Обявни оценки</t>
        </is>
      </c>
      <c r="B6" s="54" t="n">
        <v>5400</v>
      </c>
      <c r="C6" s="69" t="n">
        <v>0.07603491974091806</v>
      </c>
      <c r="D6" s="54" t="n">
        <v>19800</v>
      </c>
      <c r="E6" s="69" t="n">
        <v>0.1700300558179476</v>
      </c>
      <c r="F6" s="54" t="n">
        <v>46800</v>
      </c>
      <c r="G6" s="69" t="n">
        <v>0.202632490474541</v>
      </c>
    </row>
    <row r="7" ht="16" customHeight="1">
      <c r="A7" s="68" t="inlineStr">
        <is>
          <t xml:space="preserve">  Купувачски проверки</t>
        </is>
      </c>
      <c r="B7" s="54" t="n">
        <v>1760</v>
      </c>
      <c r="C7" s="69" t="n">
        <v>0.02478175161926218</v>
      </c>
      <c r="D7" s="54" t="n">
        <v>7040</v>
      </c>
      <c r="E7" s="69" t="n">
        <v>0.06045513095749248</v>
      </c>
      <c r="F7" s="54" t="n">
        <v>17600</v>
      </c>
      <c r="G7" s="69" t="n">
        <v>0.07620367163145134</v>
      </c>
    </row>
    <row r="8" ht="16" customHeight="1">
      <c r="A8" s="68" t="inlineStr">
        <is>
          <t xml:space="preserve">  Кабинетни справки</t>
        </is>
      </c>
      <c r="B8" s="54" t="n">
        <v>0</v>
      </c>
      <c r="C8" s="69" t="n">
        <v>0</v>
      </c>
      <c r="D8" s="54" t="n">
        <v>450</v>
      </c>
      <c r="E8" s="69" t="n">
        <v>0.0038643194504079</v>
      </c>
      <c r="F8" s="54" t="n">
        <v>1800</v>
      </c>
      <c r="G8" s="69" t="n">
        <v>0.007793557325943886</v>
      </c>
    </row>
    <row r="9" ht="16" customHeight="1">
      <c r="A9" s="65" t="inlineStr">
        <is>
          <t>Оператори</t>
        </is>
      </c>
      <c r="B9" s="70" t="n">
        <v>31200</v>
      </c>
      <c r="C9" s="43" t="n">
        <v>0.4393128696141932</v>
      </c>
      <c r="D9" s="70" t="n">
        <v>62400</v>
      </c>
      <c r="E9" s="43" t="n">
        <v>0.5358522971232289</v>
      </c>
      <c r="F9" s="70" t="n">
        <v>124800</v>
      </c>
      <c r="G9" s="43" t="n">
        <v>0.5403533079321095</v>
      </c>
    </row>
    <row r="10" ht="16" customHeight="1">
      <c r="A10" s="65" t="inlineStr">
        <is>
          <t>Маркетинг</t>
        </is>
      </c>
      <c r="B10" s="71" t="n">
        <v>8400</v>
      </c>
      <c r="C10" s="45" t="n">
        <v>0.1182765418192059</v>
      </c>
      <c r="D10" s="71" t="n">
        <v>18000</v>
      </c>
      <c r="E10" s="45" t="n">
        <v>0.154572778016316</v>
      </c>
      <c r="F10" s="71" t="n">
        <v>31200</v>
      </c>
      <c r="G10" s="45" t="n">
        <v>0.1350883269830274</v>
      </c>
    </row>
    <row r="11" ht="16" customHeight="1">
      <c r="A11" s="65" t="inlineStr">
        <is>
          <t>Постоянни (кола+застр.+счет.)</t>
        </is>
      </c>
      <c r="B11" s="66" t="n">
        <v>8760</v>
      </c>
      <c r="C11" s="67" t="n">
        <v>0.1233455364686004</v>
      </c>
      <c r="D11" s="66" t="n">
        <v>8760</v>
      </c>
      <c r="E11" s="67" t="n">
        <v>0.07522541863460713</v>
      </c>
      <c r="F11" s="66" t="n">
        <v>8760</v>
      </c>
      <c r="G11" s="67" t="n">
        <v>0.03792864565292691</v>
      </c>
    </row>
    <row r="12" ht="16" customHeight="1">
      <c r="A12" s="65" t="inlineStr">
        <is>
          <t>Стартови разходи</t>
        </is>
      </c>
      <c r="B12" s="72" t="n">
        <v>15500</v>
      </c>
      <c r="C12" s="73" t="n">
        <v>0.2182483807378203</v>
      </c>
      <c r="D12" s="72" t="n">
        <v>0</v>
      </c>
      <c r="E12" s="73" t="n">
        <v>0</v>
      </c>
      <c r="F12" s="72" t="n">
        <v>0</v>
      </c>
      <c r="G12" s="73" t="n">
        <v>0</v>
      </c>
    </row>
    <row r="13" ht="17" customHeight="1">
      <c r="A13" s="74" t="inlineStr">
        <is>
          <t>Общо разходи</t>
        </is>
      </c>
      <c r="B13" s="75" t="n">
        <v>71020</v>
      </c>
      <c r="C13" s="76" t="n">
        <v>1</v>
      </c>
      <c r="D13" s="75" t="n">
        <v>116450</v>
      </c>
      <c r="E13" s="76" t="n">
        <v>1</v>
      </c>
      <c r="F13" s="75" t="n">
        <v>230960</v>
      </c>
      <c r="G13" s="76" t="n">
        <v>1</v>
      </c>
    </row>
    <row r="15" ht="17" customHeight="1">
      <c r="A15" s="14" t="inlineStr">
        <is>
          <t>МАРЖОВА ЕВОЛЮЦИЯ</t>
        </is>
      </c>
    </row>
    <row r="16" ht="17" customHeight="1">
      <c r="A16" s="41" t="inlineStr">
        <is>
          <t>Показател</t>
        </is>
      </c>
      <c r="B16" s="41" t="inlineStr">
        <is>
          <t>Г1</t>
        </is>
      </c>
      <c r="C16" s="77" t="inlineStr">
        <is>
          <t>(€)</t>
        </is>
      </c>
      <c r="D16" s="41" t="inlineStr">
        <is>
          <t>Г2</t>
        </is>
      </c>
      <c r="E16" s="77" t="inlineStr">
        <is>
          <t>(€)</t>
        </is>
      </c>
      <c r="F16" s="41" t="inlineStr">
        <is>
          <t>Г3</t>
        </is>
      </c>
      <c r="G16" s="77" t="inlineStr">
        <is>
          <t>(€)</t>
        </is>
      </c>
    </row>
    <row r="17" ht="16" customHeight="1">
      <c r="A17" s="78" t="inlineStr">
        <is>
          <t>Приходи</t>
        </is>
      </c>
      <c r="B17" s="79" t="n">
        <v>56480</v>
      </c>
      <c r="C17" s="80" t="n"/>
      <c r="D17" s="79" t="n">
        <v>218520</v>
      </c>
      <c r="E17" s="80" t="n"/>
      <c r="F17" s="79" t="n">
        <v>535200</v>
      </c>
      <c r="G17" s="80" t="n"/>
    </row>
    <row r="18" ht="16" customHeight="1">
      <c r="A18" s="65" t="inlineStr">
        <is>
          <t>Брутна печалба</t>
        </is>
      </c>
      <c r="B18" s="81" t="n">
        <v>49320</v>
      </c>
      <c r="C18" s="82" t="n">
        <v>0.8732294617563739</v>
      </c>
      <c r="D18" s="81" t="n">
        <v>191230</v>
      </c>
      <c r="E18" s="82" t="n">
        <v>0.8751144060040271</v>
      </c>
      <c r="F18" s="81" t="n">
        <v>469000</v>
      </c>
      <c r="G18" s="82" t="n">
        <v>0.8763079222720478</v>
      </c>
    </row>
    <row r="19" ht="16" customHeight="1">
      <c r="A19" s="65" t="inlineStr">
        <is>
          <t>EBITDA</t>
        </is>
      </c>
      <c r="B19" s="57" t="n">
        <v>960</v>
      </c>
      <c r="C19" s="83" t="n">
        <v>0.0169971671388102</v>
      </c>
      <c r="D19" s="57" t="n">
        <v>102070</v>
      </c>
      <c r="E19" s="83" t="n">
        <v>0.4670968332418085</v>
      </c>
      <c r="F19" s="57" t="n">
        <v>304240</v>
      </c>
      <c r="G19" s="83" t="n">
        <v>0.5684603886397608</v>
      </c>
    </row>
    <row r="20" ht="16" customHeight="1">
      <c r="A20" s="78" t="inlineStr">
        <is>
          <t>Нетен паричен поток</t>
        </is>
      </c>
      <c r="B20" s="84" t="n">
        <v>-14540</v>
      </c>
      <c r="C20" s="85" t="n"/>
      <c r="D20" s="86" t="n">
        <v>102070</v>
      </c>
      <c r="E20" s="85" t="n"/>
      <c r="F20" s="86" t="n">
        <v>304240</v>
      </c>
      <c r="G20" s="85" t="n"/>
    </row>
  </sheetData>
  <mergeCells count="3">
    <mergeCell ref="A3:G3"/>
    <mergeCell ref="A1:G1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3230"/>
    <outlinePr summaryBelow="1" summaryRight="1"/>
    <pageSetUpPr/>
  </sheetPr>
  <dimension ref="A1:K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7" customWidth="1" min="3" max="3"/>
    <col width="14" customWidth="1" min="4" max="4"/>
    <col width="13" customWidth="1" min="5" max="5"/>
    <col width="13" customWidth="1" min="6" max="6"/>
    <col width="13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26" customHeight="1">
      <c r="A1" s="87" t="inlineStr">
        <is>
          <t>Водна Оценка · Месечни парични потоци (36 месеца)</t>
        </is>
      </c>
    </row>
    <row r="2" ht="10" customHeight="1"/>
    <row r="3" ht="14" customHeight="1">
      <c r="A3" s="88" t="inlineStr">
        <is>
          <t>Минимален касов баланс: €2,671 (М3, Мар Г1) · Първи положителен EBITDA: М4 (Апр Г1) · Начална каса: €22,000</t>
        </is>
      </c>
    </row>
    <row r="4" ht="17" customHeight="1">
      <c r="A4" s="89" t="inlineStr">
        <is>
          <t>Мес.</t>
        </is>
      </c>
      <c r="B4" s="89" t="inlineStr">
        <is>
          <t>Г</t>
        </is>
      </c>
      <c r="C4" s="89" t="inlineStr">
        <is>
          <t>Месец</t>
        </is>
      </c>
      <c r="D4" s="41" t="inlineStr">
        <is>
          <t>Приход</t>
        </is>
      </c>
      <c r="E4" s="41" t="inlineStr">
        <is>
          <t>Пр. разходи</t>
        </is>
      </c>
      <c r="F4" s="41" t="inlineStr">
        <is>
          <t>Бр. печалба</t>
        </is>
      </c>
      <c r="G4" s="41" t="inlineStr">
        <is>
          <t>Опер. разх.</t>
        </is>
      </c>
      <c r="H4" s="41" t="inlineStr">
        <is>
          <t>EBITDA</t>
        </is>
      </c>
      <c r="I4" s="41" t="inlineStr">
        <is>
          <t>Стартови</t>
        </is>
      </c>
      <c r="J4" s="41" t="inlineStr">
        <is>
          <t>Нетен ПП</t>
        </is>
      </c>
      <c r="K4" s="41" t="inlineStr">
        <is>
          <t>Касов баланс</t>
        </is>
      </c>
    </row>
    <row r="5" ht="14" customHeight="1">
      <c r="A5" s="90" t="n">
        <v>1</v>
      </c>
      <c r="B5" s="90" t="n">
        <v>1</v>
      </c>
      <c r="C5" s="90" t="inlineStr">
        <is>
          <t>Яну</t>
        </is>
      </c>
      <c r="D5" s="91" t="n">
        <v>2588.666666666667</v>
      </c>
      <c r="E5" s="91" t="n">
        <v>328.1666666666666</v>
      </c>
      <c r="F5" s="92" t="n">
        <v>2260.5</v>
      </c>
      <c r="G5" s="91" t="n">
        <v>4030</v>
      </c>
      <c r="H5" s="93" t="n">
        <v>-1769.5</v>
      </c>
      <c r="I5" s="94" t="n">
        <v>15500</v>
      </c>
      <c r="J5" s="93" t="n">
        <v>-17269.5</v>
      </c>
      <c r="K5" s="95" t="n">
        <v>4730.5</v>
      </c>
    </row>
    <row r="6" ht="14" customHeight="1">
      <c r="A6" s="96" t="n">
        <v>2</v>
      </c>
      <c r="B6" s="96" t="n">
        <v>1</v>
      </c>
      <c r="C6" s="96" t="inlineStr">
        <is>
          <t>Фев</t>
        </is>
      </c>
      <c r="D6" s="97" t="n">
        <v>2729.866666666667</v>
      </c>
      <c r="E6" s="97" t="n">
        <v>346.0666666666667</v>
      </c>
      <c r="F6" s="98" t="n">
        <v>2383.8</v>
      </c>
      <c r="G6" s="97" t="n">
        <v>4030</v>
      </c>
      <c r="H6" s="99" t="n">
        <v>-1646.2</v>
      </c>
      <c r="I6" s="97" t="n">
        <v>0</v>
      </c>
      <c r="J6" s="99" t="n">
        <v>-1646.2</v>
      </c>
      <c r="K6" s="100" t="n">
        <v>3084.3</v>
      </c>
    </row>
    <row r="7" ht="14" customHeight="1">
      <c r="A7" s="90" t="n">
        <v>3</v>
      </c>
      <c r="B7" s="90" t="n">
        <v>1</v>
      </c>
      <c r="C7" s="90" t="inlineStr">
        <is>
          <t>Мар</t>
        </is>
      </c>
      <c r="D7" s="91" t="n">
        <v>4141.866666666667</v>
      </c>
      <c r="E7" s="91" t="n">
        <v>525.0666666666666</v>
      </c>
      <c r="F7" s="92" t="n">
        <v>3616.8</v>
      </c>
      <c r="G7" s="91" t="n">
        <v>4030</v>
      </c>
      <c r="H7" s="93" t="n">
        <v>-413.1999999999998</v>
      </c>
      <c r="I7" s="91" t="n">
        <v>0</v>
      </c>
      <c r="J7" s="93" t="n">
        <v>-413.1999999999998</v>
      </c>
      <c r="K7" s="101" t="n">
        <v>2671.1</v>
      </c>
    </row>
    <row r="8" ht="14" customHeight="1">
      <c r="A8" s="96" t="n">
        <v>4</v>
      </c>
      <c r="B8" s="96" t="n">
        <v>1</v>
      </c>
      <c r="C8" s="96" t="inlineStr">
        <is>
          <t>Апр</t>
        </is>
      </c>
      <c r="D8" s="97" t="n">
        <v>5648</v>
      </c>
      <c r="E8" s="97" t="n">
        <v>716</v>
      </c>
      <c r="F8" s="98" t="n">
        <v>4932</v>
      </c>
      <c r="G8" s="97" t="n">
        <v>4030</v>
      </c>
      <c r="H8" s="100" t="n">
        <v>902</v>
      </c>
      <c r="I8" s="97" t="n">
        <v>0</v>
      </c>
      <c r="J8" s="100" t="n">
        <v>902</v>
      </c>
      <c r="K8" s="100" t="n">
        <v>3573.1</v>
      </c>
    </row>
    <row r="9" ht="14" customHeight="1">
      <c r="A9" s="90" t="n">
        <v>5</v>
      </c>
      <c r="B9" s="90" t="n">
        <v>1</v>
      </c>
      <c r="C9" s="90" t="inlineStr">
        <is>
          <t>Май</t>
        </is>
      </c>
      <c r="D9" s="91" t="n">
        <v>6495.199999999999</v>
      </c>
      <c r="E9" s="91" t="n">
        <v>823.3999999999999</v>
      </c>
      <c r="F9" s="92" t="n">
        <v>5671.799999999999</v>
      </c>
      <c r="G9" s="91" t="n">
        <v>4030</v>
      </c>
      <c r="H9" s="95" t="n">
        <v>1641.799999999999</v>
      </c>
      <c r="I9" s="91" t="n">
        <v>0</v>
      </c>
      <c r="J9" s="95" t="n">
        <v>1641.799999999999</v>
      </c>
      <c r="K9" s="95" t="n">
        <v>5214.9</v>
      </c>
    </row>
    <row r="10" ht="14" customHeight="1">
      <c r="A10" s="96" t="n">
        <v>6</v>
      </c>
      <c r="B10" s="96" t="n">
        <v>1</v>
      </c>
      <c r="C10" s="96" t="inlineStr">
        <is>
          <t>Юни</t>
        </is>
      </c>
      <c r="D10" s="97" t="n">
        <v>5742.133333333333</v>
      </c>
      <c r="E10" s="97" t="n">
        <v>727.9333333333334</v>
      </c>
      <c r="F10" s="98" t="n">
        <v>5014.2</v>
      </c>
      <c r="G10" s="97" t="n">
        <v>4030</v>
      </c>
      <c r="H10" s="100" t="n">
        <v>984.1999999999998</v>
      </c>
      <c r="I10" s="97" t="n">
        <v>0</v>
      </c>
      <c r="J10" s="100" t="n">
        <v>984.1999999999998</v>
      </c>
      <c r="K10" s="100" t="n">
        <v>6199.099999999999</v>
      </c>
    </row>
    <row r="11" ht="14" customHeight="1">
      <c r="A11" s="90" t="n">
        <v>7</v>
      </c>
      <c r="B11" s="90" t="n">
        <v>1</v>
      </c>
      <c r="C11" s="90" t="inlineStr">
        <is>
          <t>Юли</t>
        </is>
      </c>
      <c r="D11" s="91" t="n">
        <v>4942</v>
      </c>
      <c r="E11" s="91" t="n">
        <v>626.5</v>
      </c>
      <c r="F11" s="92" t="n">
        <v>4315.5</v>
      </c>
      <c r="G11" s="91" t="n">
        <v>4030</v>
      </c>
      <c r="H11" s="95" t="n">
        <v>285.5</v>
      </c>
      <c r="I11" s="91" t="n">
        <v>0</v>
      </c>
      <c r="J11" s="95" t="n">
        <v>285.5</v>
      </c>
      <c r="K11" s="95" t="n">
        <v>6484.599999999999</v>
      </c>
    </row>
    <row r="12" ht="14" customHeight="1">
      <c r="A12" s="96" t="n">
        <v>8</v>
      </c>
      <c r="B12" s="96" t="n">
        <v>1</v>
      </c>
      <c r="C12" s="96" t="inlineStr">
        <is>
          <t>Авг</t>
        </is>
      </c>
      <c r="D12" s="97" t="n">
        <v>4800.8</v>
      </c>
      <c r="E12" s="97" t="n">
        <v>608.6</v>
      </c>
      <c r="F12" s="98" t="n">
        <v>4192.2</v>
      </c>
      <c r="G12" s="97" t="n">
        <v>4030</v>
      </c>
      <c r="H12" s="100" t="n">
        <v>162.1999999999998</v>
      </c>
      <c r="I12" s="97" t="n">
        <v>0</v>
      </c>
      <c r="J12" s="100" t="n">
        <v>162.1999999999998</v>
      </c>
      <c r="K12" s="100" t="n">
        <v>6646.799999999999</v>
      </c>
    </row>
    <row r="13" ht="14" customHeight="1">
      <c r="A13" s="90" t="n">
        <v>9</v>
      </c>
      <c r="B13" s="90" t="n">
        <v>1</v>
      </c>
      <c r="C13" s="90" t="inlineStr">
        <is>
          <t>Сеп</t>
        </is>
      </c>
      <c r="D13" s="91" t="n">
        <v>5883.333333333334</v>
      </c>
      <c r="E13" s="91" t="n">
        <v>745.8333333333334</v>
      </c>
      <c r="F13" s="92" t="n">
        <v>5137.500000000001</v>
      </c>
      <c r="G13" s="91" t="n">
        <v>4030</v>
      </c>
      <c r="H13" s="95" t="n">
        <v>1107.500000000001</v>
      </c>
      <c r="I13" s="91" t="n">
        <v>0</v>
      </c>
      <c r="J13" s="95" t="n">
        <v>1107.500000000001</v>
      </c>
      <c r="K13" s="95" t="n">
        <v>7754.3</v>
      </c>
    </row>
    <row r="14" ht="14" customHeight="1">
      <c r="A14" s="96" t="n">
        <v>10</v>
      </c>
      <c r="B14" s="96" t="n">
        <v>1</v>
      </c>
      <c r="C14" s="96" t="inlineStr">
        <is>
          <t>Окт</t>
        </is>
      </c>
      <c r="D14" s="97" t="n">
        <v>6495.199999999999</v>
      </c>
      <c r="E14" s="97" t="n">
        <v>823.3999999999999</v>
      </c>
      <c r="F14" s="98" t="n">
        <v>5671.799999999999</v>
      </c>
      <c r="G14" s="97" t="n">
        <v>4030</v>
      </c>
      <c r="H14" s="100" t="n">
        <v>1641.799999999999</v>
      </c>
      <c r="I14" s="97" t="n">
        <v>0</v>
      </c>
      <c r="J14" s="100" t="n">
        <v>1641.799999999999</v>
      </c>
      <c r="K14" s="100" t="n">
        <v>9396.099999999999</v>
      </c>
    </row>
    <row r="15" ht="14" customHeight="1">
      <c r="A15" s="90" t="n">
        <v>11</v>
      </c>
      <c r="B15" s="90" t="n">
        <v>1</v>
      </c>
      <c r="C15" s="90" t="inlineStr">
        <is>
          <t>Ное</t>
        </is>
      </c>
      <c r="D15" s="91" t="n">
        <v>4236</v>
      </c>
      <c r="E15" s="91" t="n">
        <v>537</v>
      </c>
      <c r="F15" s="92" t="n">
        <v>3699</v>
      </c>
      <c r="G15" s="91" t="n">
        <v>4030</v>
      </c>
      <c r="H15" s="93" t="n">
        <v>-331</v>
      </c>
      <c r="I15" s="91" t="n">
        <v>0</v>
      </c>
      <c r="J15" s="93" t="n">
        <v>-331</v>
      </c>
      <c r="K15" s="95" t="n">
        <v>9065.099999999999</v>
      </c>
    </row>
    <row r="16" ht="14" customHeight="1">
      <c r="A16" s="96" t="n">
        <v>12</v>
      </c>
      <c r="B16" s="96" t="n">
        <v>1</v>
      </c>
      <c r="C16" s="96" t="inlineStr">
        <is>
          <t>Дек</t>
        </is>
      </c>
      <c r="D16" s="97" t="n">
        <v>2776.933333333333</v>
      </c>
      <c r="E16" s="97" t="n">
        <v>352.0333333333333</v>
      </c>
      <c r="F16" s="98" t="n">
        <v>2424.9</v>
      </c>
      <c r="G16" s="97" t="n">
        <v>4030</v>
      </c>
      <c r="H16" s="99" t="n">
        <v>-1605.1</v>
      </c>
      <c r="I16" s="97" t="n">
        <v>0</v>
      </c>
      <c r="J16" s="99" t="n">
        <v>-1605.1</v>
      </c>
      <c r="K16" s="100" t="n">
        <v>7459.999999999998</v>
      </c>
    </row>
    <row r="17" ht="17" customHeight="1">
      <c r="A17" s="102" t="inlineStr"/>
      <c r="B17" s="102" t="inlineStr"/>
      <c r="C17" s="103" t="inlineStr">
        <is>
          <t>Г1 — Общо</t>
        </is>
      </c>
      <c r="D17" s="104" t="n">
        <v>56480</v>
      </c>
      <c r="E17" s="104" t="n">
        <v>7160</v>
      </c>
      <c r="F17" s="104" t="n">
        <v>49320.00000000001</v>
      </c>
      <c r="G17" s="104" t="n">
        <v>48360</v>
      </c>
      <c r="H17" s="104" t="n">
        <v>959.9999999999995</v>
      </c>
      <c r="I17" s="104" t="n">
        <v>15500</v>
      </c>
      <c r="J17" s="105" t="n">
        <v>-14540</v>
      </c>
      <c r="K17" s="104" t="n">
        <v>7459.999999999998</v>
      </c>
    </row>
    <row r="18" ht="14" customHeight="1">
      <c r="A18" s="106" t="n">
        <v>13</v>
      </c>
      <c r="B18" s="106" t="n">
        <v>2</v>
      </c>
      <c r="C18" s="106" t="inlineStr">
        <is>
          <t>Яну</t>
        </is>
      </c>
      <c r="D18" s="107" t="n">
        <v>10015.5</v>
      </c>
      <c r="E18" s="107" t="n">
        <v>1250.791666666667</v>
      </c>
      <c r="F18" s="108" t="n">
        <v>8764.708333333334</v>
      </c>
      <c r="G18" s="107" t="n">
        <v>7430</v>
      </c>
      <c r="H18" s="109" t="n">
        <v>1334.708333333334</v>
      </c>
      <c r="I18" s="107" t="n">
        <v>0</v>
      </c>
      <c r="J18" s="109" t="n">
        <v>1334.708333333334</v>
      </c>
      <c r="K18" s="109" t="n">
        <v>8794.708333333332</v>
      </c>
    </row>
    <row r="19" ht="14" customHeight="1">
      <c r="A19" s="96" t="n">
        <v>14</v>
      </c>
      <c r="B19" s="96" t="n">
        <v>2</v>
      </c>
      <c r="C19" s="96" t="inlineStr">
        <is>
          <t>Фев</t>
        </is>
      </c>
      <c r="D19" s="97" t="n">
        <v>10561.8</v>
      </c>
      <c r="E19" s="97" t="n">
        <v>1319.016666666667</v>
      </c>
      <c r="F19" s="98" t="n">
        <v>9242.783333333333</v>
      </c>
      <c r="G19" s="97" t="n">
        <v>7430</v>
      </c>
      <c r="H19" s="100" t="n">
        <v>1812.783333333333</v>
      </c>
      <c r="I19" s="97" t="n">
        <v>0</v>
      </c>
      <c r="J19" s="100" t="n">
        <v>1812.783333333333</v>
      </c>
      <c r="K19" s="100" t="n">
        <v>10607.49166666666</v>
      </c>
    </row>
    <row r="20" ht="14" customHeight="1">
      <c r="A20" s="106" t="n">
        <v>15</v>
      </c>
      <c r="B20" s="106" t="n">
        <v>2</v>
      </c>
      <c r="C20" s="106" t="inlineStr">
        <is>
          <t>Мар</t>
        </is>
      </c>
      <c r="D20" s="107" t="n">
        <v>16024.8</v>
      </c>
      <c r="E20" s="107" t="n">
        <v>2001.266666666667</v>
      </c>
      <c r="F20" s="108" t="n">
        <v>14023.53333333333</v>
      </c>
      <c r="G20" s="107" t="n">
        <v>7430</v>
      </c>
      <c r="H20" s="109" t="n">
        <v>6593.533333333335</v>
      </c>
      <c r="I20" s="107" t="n">
        <v>0</v>
      </c>
      <c r="J20" s="109" t="n">
        <v>6593.533333333335</v>
      </c>
      <c r="K20" s="109" t="n">
        <v>17201.025</v>
      </c>
    </row>
    <row r="21" ht="14" customHeight="1">
      <c r="A21" s="96" t="n">
        <v>16</v>
      </c>
      <c r="B21" s="96" t="n">
        <v>2</v>
      </c>
      <c r="C21" s="96" t="inlineStr">
        <is>
          <t>Апр</t>
        </is>
      </c>
      <c r="D21" s="97" t="n">
        <v>21852</v>
      </c>
      <c r="E21" s="97" t="n">
        <v>2729</v>
      </c>
      <c r="F21" s="98" t="n">
        <v>19123</v>
      </c>
      <c r="G21" s="97" t="n">
        <v>7430</v>
      </c>
      <c r="H21" s="100" t="n">
        <v>11693</v>
      </c>
      <c r="I21" s="97" t="n">
        <v>0</v>
      </c>
      <c r="J21" s="100" t="n">
        <v>11693</v>
      </c>
      <c r="K21" s="100" t="n">
        <v>28894.025</v>
      </c>
    </row>
    <row r="22" ht="14" customHeight="1">
      <c r="A22" s="106" t="n">
        <v>17</v>
      </c>
      <c r="B22" s="106" t="n">
        <v>2</v>
      </c>
      <c r="C22" s="106" t="inlineStr">
        <is>
          <t>Май</t>
        </is>
      </c>
      <c r="D22" s="107" t="n">
        <v>25129.8</v>
      </c>
      <c r="E22" s="107" t="n">
        <v>3138.349999999999</v>
      </c>
      <c r="F22" s="108" t="n">
        <v>21991.45</v>
      </c>
      <c r="G22" s="107" t="n">
        <v>7430</v>
      </c>
      <c r="H22" s="109" t="n">
        <v>14561.45</v>
      </c>
      <c r="I22" s="107" t="n">
        <v>0</v>
      </c>
      <c r="J22" s="109" t="n">
        <v>14561.45</v>
      </c>
      <c r="K22" s="109" t="n">
        <v>43455.475</v>
      </c>
    </row>
    <row r="23" ht="14" customHeight="1">
      <c r="A23" s="96" t="n">
        <v>18</v>
      </c>
      <c r="B23" s="96" t="n">
        <v>2</v>
      </c>
      <c r="C23" s="96" t="inlineStr">
        <is>
          <t>Юни</t>
        </is>
      </c>
      <c r="D23" s="97" t="n">
        <v>22216.2</v>
      </c>
      <c r="E23" s="97" t="n">
        <v>2774.483333333334</v>
      </c>
      <c r="F23" s="98" t="n">
        <v>19441.71666666666</v>
      </c>
      <c r="G23" s="97" t="n">
        <v>7430</v>
      </c>
      <c r="H23" s="100" t="n">
        <v>12011.71666666666</v>
      </c>
      <c r="I23" s="97" t="n">
        <v>0</v>
      </c>
      <c r="J23" s="100" t="n">
        <v>12011.71666666666</v>
      </c>
      <c r="K23" s="100" t="n">
        <v>55467.19166666667</v>
      </c>
    </row>
    <row r="24" ht="14" customHeight="1">
      <c r="A24" s="106" t="n">
        <v>19</v>
      </c>
      <c r="B24" s="106" t="n">
        <v>2</v>
      </c>
      <c r="C24" s="106" t="inlineStr">
        <is>
          <t>Юли</t>
        </is>
      </c>
      <c r="D24" s="107" t="n">
        <v>19120.5</v>
      </c>
      <c r="E24" s="107" t="n">
        <v>2387.875</v>
      </c>
      <c r="F24" s="108" t="n">
        <v>16732.625</v>
      </c>
      <c r="G24" s="107" t="n">
        <v>7430</v>
      </c>
      <c r="H24" s="109" t="n">
        <v>9302.625</v>
      </c>
      <c r="I24" s="107" t="n">
        <v>0</v>
      </c>
      <c r="J24" s="109" t="n">
        <v>9302.625</v>
      </c>
      <c r="K24" s="109" t="n">
        <v>64769.81666666667</v>
      </c>
    </row>
    <row r="25" ht="14" customHeight="1">
      <c r="A25" s="96" t="n">
        <v>20</v>
      </c>
      <c r="B25" s="96" t="n">
        <v>2</v>
      </c>
      <c r="C25" s="96" t="inlineStr">
        <is>
          <t>Авг</t>
        </is>
      </c>
      <c r="D25" s="97" t="n">
        <v>18574.2</v>
      </c>
      <c r="E25" s="97" t="n">
        <v>2319.65</v>
      </c>
      <c r="F25" s="98" t="n">
        <v>16254.55</v>
      </c>
      <c r="G25" s="97" t="n">
        <v>7430</v>
      </c>
      <c r="H25" s="100" t="n">
        <v>8824.550000000001</v>
      </c>
      <c r="I25" s="97" t="n">
        <v>0</v>
      </c>
      <c r="J25" s="100" t="n">
        <v>8824.550000000001</v>
      </c>
      <c r="K25" s="100" t="n">
        <v>73594.36666666667</v>
      </c>
    </row>
    <row r="26" ht="14" customHeight="1">
      <c r="A26" s="106" t="n">
        <v>21</v>
      </c>
      <c r="B26" s="106" t="n">
        <v>2</v>
      </c>
      <c r="C26" s="106" t="inlineStr">
        <is>
          <t>Сеп</t>
        </is>
      </c>
      <c r="D26" s="107" t="n">
        <v>22762.5</v>
      </c>
      <c r="E26" s="107" t="n">
        <v>2842.708333333333</v>
      </c>
      <c r="F26" s="108" t="n">
        <v>19919.79166666667</v>
      </c>
      <c r="G26" s="107" t="n">
        <v>7430</v>
      </c>
      <c r="H26" s="109" t="n">
        <v>12489.79166666667</v>
      </c>
      <c r="I26" s="107" t="n">
        <v>0</v>
      </c>
      <c r="J26" s="109" t="n">
        <v>12489.79166666667</v>
      </c>
      <c r="K26" s="109" t="n">
        <v>86084.15833333334</v>
      </c>
    </row>
    <row r="27" ht="14" customHeight="1">
      <c r="A27" s="96" t="n">
        <v>22</v>
      </c>
      <c r="B27" s="96" t="n">
        <v>2</v>
      </c>
      <c r="C27" s="96" t="inlineStr">
        <is>
          <t>Окт</t>
        </is>
      </c>
      <c r="D27" s="97" t="n">
        <v>25129.8</v>
      </c>
      <c r="E27" s="97" t="n">
        <v>3138.349999999999</v>
      </c>
      <c r="F27" s="98" t="n">
        <v>21991.45</v>
      </c>
      <c r="G27" s="97" t="n">
        <v>7430</v>
      </c>
      <c r="H27" s="100" t="n">
        <v>14561.45</v>
      </c>
      <c r="I27" s="97" t="n">
        <v>0</v>
      </c>
      <c r="J27" s="100" t="n">
        <v>14561.45</v>
      </c>
      <c r="K27" s="100" t="n">
        <v>100645.6083333333</v>
      </c>
    </row>
    <row r="28" ht="14" customHeight="1">
      <c r="A28" s="106" t="n">
        <v>23</v>
      </c>
      <c r="B28" s="106" t="n">
        <v>2</v>
      </c>
      <c r="C28" s="106" t="inlineStr">
        <is>
          <t>Ное</t>
        </is>
      </c>
      <c r="D28" s="107" t="n">
        <v>16389</v>
      </c>
      <c r="E28" s="107" t="n">
        <v>2046.75</v>
      </c>
      <c r="F28" s="108" t="n">
        <v>14342.25</v>
      </c>
      <c r="G28" s="107" t="n">
        <v>7430</v>
      </c>
      <c r="H28" s="109" t="n">
        <v>6912.25</v>
      </c>
      <c r="I28" s="107" t="n">
        <v>0</v>
      </c>
      <c r="J28" s="109" t="n">
        <v>6912.25</v>
      </c>
      <c r="K28" s="109" t="n">
        <v>107557.8583333333</v>
      </c>
    </row>
    <row r="29" ht="14" customHeight="1">
      <c r="A29" s="96" t="n">
        <v>24</v>
      </c>
      <c r="B29" s="96" t="n">
        <v>2</v>
      </c>
      <c r="C29" s="96" t="inlineStr">
        <is>
          <t>Дек</t>
        </is>
      </c>
      <c r="D29" s="97" t="n">
        <v>10743.9</v>
      </c>
      <c r="E29" s="97" t="n">
        <v>1341.758333333333</v>
      </c>
      <c r="F29" s="98" t="n">
        <v>9402.141666666668</v>
      </c>
      <c r="G29" s="97" t="n">
        <v>7430</v>
      </c>
      <c r="H29" s="100" t="n">
        <v>1972.141666666668</v>
      </c>
      <c r="I29" s="97" t="n">
        <v>0</v>
      </c>
      <c r="J29" s="100" t="n">
        <v>1972.141666666668</v>
      </c>
      <c r="K29" s="100" t="n">
        <v>109530</v>
      </c>
    </row>
    <row r="30" ht="17" customHeight="1">
      <c r="A30" s="102" t="inlineStr"/>
      <c r="B30" s="102" t="inlineStr"/>
      <c r="C30" s="103" t="inlineStr">
        <is>
          <t>Г2 — Общо</t>
        </is>
      </c>
      <c r="D30" s="104" t="n">
        <v>218520</v>
      </c>
      <c r="E30" s="104" t="n">
        <v>27290</v>
      </c>
      <c r="F30" s="104" t="n">
        <v>191230</v>
      </c>
      <c r="G30" s="104" t="n">
        <v>89160</v>
      </c>
      <c r="H30" s="104" t="n">
        <v>102070</v>
      </c>
      <c r="I30" s="110" t="n">
        <v>0</v>
      </c>
      <c r="J30" s="104" t="n">
        <v>102070</v>
      </c>
      <c r="K30" s="104" t="n">
        <v>109530</v>
      </c>
    </row>
    <row r="31" ht="14" customHeight="1">
      <c r="A31" s="111" t="n">
        <v>25</v>
      </c>
      <c r="B31" s="111" t="n">
        <v>3</v>
      </c>
      <c r="C31" s="111" t="inlineStr">
        <is>
          <t>Яну</t>
        </is>
      </c>
      <c r="D31" s="112" t="n">
        <v>24530</v>
      </c>
      <c r="E31" s="112" t="n">
        <v>3034.166666666667</v>
      </c>
      <c r="F31" s="113" t="n">
        <v>21495.83333333334</v>
      </c>
      <c r="G31" s="112" t="n">
        <v>13730</v>
      </c>
      <c r="H31" s="114" t="n">
        <v>7765.833333333336</v>
      </c>
      <c r="I31" s="112" t="n">
        <v>0</v>
      </c>
      <c r="J31" s="114" t="n">
        <v>7765.833333333336</v>
      </c>
      <c r="K31" s="114" t="n">
        <v>117295.8333333333</v>
      </c>
    </row>
    <row r="32" ht="14" customHeight="1">
      <c r="A32" s="96" t="n">
        <v>26</v>
      </c>
      <c r="B32" s="96" t="n">
        <v>3</v>
      </c>
      <c r="C32" s="96" t="inlineStr">
        <is>
          <t>Фев</t>
        </is>
      </c>
      <c r="D32" s="97" t="n">
        <v>25868</v>
      </c>
      <c r="E32" s="97" t="n">
        <v>3199.666666666667</v>
      </c>
      <c r="F32" s="98" t="n">
        <v>22668.33333333333</v>
      </c>
      <c r="G32" s="97" t="n">
        <v>13730</v>
      </c>
      <c r="H32" s="100" t="n">
        <v>8938.333333333332</v>
      </c>
      <c r="I32" s="97" t="n">
        <v>0</v>
      </c>
      <c r="J32" s="100" t="n">
        <v>8938.333333333332</v>
      </c>
      <c r="K32" s="100" t="n">
        <v>126234.1666666667</v>
      </c>
    </row>
    <row r="33" ht="14" customHeight="1">
      <c r="A33" s="111" t="n">
        <v>27</v>
      </c>
      <c r="B33" s="111" t="n">
        <v>3</v>
      </c>
      <c r="C33" s="111" t="inlineStr">
        <is>
          <t>Мар</t>
        </is>
      </c>
      <c r="D33" s="112" t="n">
        <v>39248</v>
      </c>
      <c r="E33" s="112" t="n">
        <v>4854.666666666666</v>
      </c>
      <c r="F33" s="113" t="n">
        <v>34393.33333333334</v>
      </c>
      <c r="G33" s="112" t="n">
        <v>13730</v>
      </c>
      <c r="H33" s="114" t="n">
        <v>20663.33333333334</v>
      </c>
      <c r="I33" s="112" t="n">
        <v>0</v>
      </c>
      <c r="J33" s="114" t="n">
        <v>20663.33333333334</v>
      </c>
      <c r="K33" s="114" t="n">
        <v>146897.5</v>
      </c>
    </row>
    <row r="34" ht="14" customHeight="1">
      <c r="A34" s="96" t="n">
        <v>28</v>
      </c>
      <c r="B34" s="96" t="n">
        <v>3</v>
      </c>
      <c r="C34" s="96" t="inlineStr">
        <is>
          <t>Апр</t>
        </is>
      </c>
      <c r="D34" s="97" t="n">
        <v>53520</v>
      </c>
      <c r="E34" s="97" t="n">
        <v>6620</v>
      </c>
      <c r="F34" s="98" t="n">
        <v>46900</v>
      </c>
      <c r="G34" s="97" t="n">
        <v>13730</v>
      </c>
      <c r="H34" s="100" t="n">
        <v>33170</v>
      </c>
      <c r="I34" s="97" t="n">
        <v>0</v>
      </c>
      <c r="J34" s="100" t="n">
        <v>33170</v>
      </c>
      <c r="K34" s="100" t="n">
        <v>180067.5</v>
      </c>
    </row>
    <row r="35" ht="14" customHeight="1">
      <c r="A35" s="111" t="n">
        <v>29</v>
      </c>
      <c r="B35" s="111" t="n">
        <v>3</v>
      </c>
      <c r="C35" s="111" t="inlineStr">
        <is>
          <t>Май</t>
        </is>
      </c>
      <c r="D35" s="112" t="n">
        <v>61547.99999999999</v>
      </c>
      <c r="E35" s="112" t="n">
        <v>7612.999999999999</v>
      </c>
      <c r="F35" s="113" t="n">
        <v>53934.99999999999</v>
      </c>
      <c r="G35" s="112" t="n">
        <v>13730</v>
      </c>
      <c r="H35" s="114" t="n">
        <v>40204.99999999999</v>
      </c>
      <c r="I35" s="112" t="n">
        <v>0</v>
      </c>
      <c r="J35" s="114" t="n">
        <v>40204.99999999999</v>
      </c>
      <c r="K35" s="114" t="n">
        <v>220272.5</v>
      </c>
    </row>
    <row r="36" ht="14" customHeight="1">
      <c r="A36" s="96" t="n">
        <v>30</v>
      </c>
      <c r="B36" s="96" t="n">
        <v>3</v>
      </c>
      <c r="C36" s="96" t="inlineStr">
        <is>
          <t>Юни</t>
        </is>
      </c>
      <c r="D36" s="97" t="n">
        <v>54412</v>
      </c>
      <c r="E36" s="97" t="n">
        <v>6730.333333333333</v>
      </c>
      <c r="F36" s="98" t="n">
        <v>47681.66666666666</v>
      </c>
      <c r="G36" s="97" t="n">
        <v>13730</v>
      </c>
      <c r="H36" s="100" t="n">
        <v>33951.66666666666</v>
      </c>
      <c r="I36" s="97" t="n">
        <v>0</v>
      </c>
      <c r="J36" s="100" t="n">
        <v>33951.66666666666</v>
      </c>
      <c r="K36" s="100" t="n">
        <v>254224.1666666667</v>
      </c>
    </row>
    <row r="37" ht="14" customHeight="1">
      <c r="A37" s="111" t="n">
        <v>31</v>
      </c>
      <c r="B37" s="111" t="n">
        <v>3</v>
      </c>
      <c r="C37" s="111" t="inlineStr">
        <is>
          <t>Юли</t>
        </is>
      </c>
      <c r="D37" s="112" t="n">
        <v>46830</v>
      </c>
      <c r="E37" s="112" t="n">
        <v>5792.5</v>
      </c>
      <c r="F37" s="113" t="n">
        <v>41037.5</v>
      </c>
      <c r="G37" s="112" t="n">
        <v>13730</v>
      </c>
      <c r="H37" s="114" t="n">
        <v>27307.5</v>
      </c>
      <c r="I37" s="112" t="n">
        <v>0</v>
      </c>
      <c r="J37" s="114" t="n">
        <v>27307.5</v>
      </c>
      <c r="K37" s="114" t="n">
        <v>281531.6666666666</v>
      </c>
    </row>
    <row r="38" ht="14" customHeight="1">
      <c r="A38" s="96" t="n">
        <v>32</v>
      </c>
      <c r="B38" s="96" t="n">
        <v>3</v>
      </c>
      <c r="C38" s="96" t="inlineStr">
        <is>
          <t>Авг</t>
        </is>
      </c>
      <c r="D38" s="97" t="n">
        <v>45492</v>
      </c>
      <c r="E38" s="97" t="n">
        <v>5627</v>
      </c>
      <c r="F38" s="98" t="n">
        <v>39865</v>
      </c>
      <c r="G38" s="97" t="n">
        <v>13730</v>
      </c>
      <c r="H38" s="100" t="n">
        <v>26135</v>
      </c>
      <c r="I38" s="97" t="n">
        <v>0</v>
      </c>
      <c r="J38" s="100" t="n">
        <v>26135</v>
      </c>
      <c r="K38" s="100" t="n">
        <v>307666.6666666666</v>
      </c>
    </row>
    <row r="39" ht="14" customHeight="1">
      <c r="A39" s="111" t="n">
        <v>33</v>
      </c>
      <c r="B39" s="111" t="n">
        <v>3</v>
      </c>
      <c r="C39" s="111" t="inlineStr">
        <is>
          <t>Сеп</t>
        </is>
      </c>
      <c r="D39" s="112" t="n">
        <v>55750</v>
      </c>
      <c r="E39" s="112" t="n">
        <v>6895.833333333333</v>
      </c>
      <c r="F39" s="113" t="n">
        <v>48854.16666666666</v>
      </c>
      <c r="G39" s="112" t="n">
        <v>13730</v>
      </c>
      <c r="H39" s="114" t="n">
        <v>35124.16666666666</v>
      </c>
      <c r="I39" s="112" t="n">
        <v>0</v>
      </c>
      <c r="J39" s="114" t="n">
        <v>35124.16666666666</v>
      </c>
      <c r="K39" s="114" t="n">
        <v>342790.8333333333</v>
      </c>
    </row>
    <row r="40" ht="14" customHeight="1">
      <c r="A40" s="96" t="n">
        <v>34</v>
      </c>
      <c r="B40" s="96" t="n">
        <v>3</v>
      </c>
      <c r="C40" s="96" t="inlineStr">
        <is>
          <t>Окт</t>
        </is>
      </c>
      <c r="D40" s="97" t="n">
        <v>61547.99999999999</v>
      </c>
      <c r="E40" s="97" t="n">
        <v>7612.999999999999</v>
      </c>
      <c r="F40" s="98" t="n">
        <v>53934.99999999999</v>
      </c>
      <c r="G40" s="97" t="n">
        <v>13730</v>
      </c>
      <c r="H40" s="100" t="n">
        <v>40204.99999999999</v>
      </c>
      <c r="I40" s="97" t="n">
        <v>0</v>
      </c>
      <c r="J40" s="100" t="n">
        <v>40204.99999999999</v>
      </c>
      <c r="K40" s="100" t="n">
        <v>382995.8333333333</v>
      </c>
    </row>
    <row r="41" ht="14" customHeight="1">
      <c r="A41" s="111" t="n">
        <v>35</v>
      </c>
      <c r="B41" s="111" t="n">
        <v>3</v>
      </c>
      <c r="C41" s="111" t="inlineStr">
        <is>
          <t>Ное</t>
        </is>
      </c>
      <c r="D41" s="112" t="n">
        <v>40140</v>
      </c>
      <c r="E41" s="112" t="n">
        <v>4965</v>
      </c>
      <c r="F41" s="113" t="n">
        <v>35175</v>
      </c>
      <c r="G41" s="112" t="n">
        <v>13730</v>
      </c>
      <c r="H41" s="114" t="n">
        <v>21445</v>
      </c>
      <c r="I41" s="112" t="n">
        <v>0</v>
      </c>
      <c r="J41" s="114" t="n">
        <v>21445</v>
      </c>
      <c r="K41" s="114" t="n">
        <v>404440.8333333333</v>
      </c>
    </row>
    <row r="42" ht="14" customHeight="1">
      <c r="A42" s="96" t="n">
        <v>36</v>
      </c>
      <c r="B42" s="96" t="n">
        <v>3</v>
      </c>
      <c r="C42" s="96" t="inlineStr">
        <is>
          <t>Дек</t>
        </is>
      </c>
      <c r="D42" s="97" t="n">
        <v>26314</v>
      </c>
      <c r="E42" s="97" t="n">
        <v>3254.833333333333</v>
      </c>
      <c r="F42" s="98" t="n">
        <v>23059.16666666667</v>
      </c>
      <c r="G42" s="97" t="n">
        <v>13730</v>
      </c>
      <c r="H42" s="100" t="n">
        <v>9329.166666666668</v>
      </c>
      <c r="I42" s="97" t="n">
        <v>0</v>
      </c>
      <c r="J42" s="100" t="n">
        <v>9329.166666666668</v>
      </c>
      <c r="K42" s="100" t="n">
        <v>413770</v>
      </c>
    </row>
    <row r="43" ht="17" customHeight="1">
      <c r="A43" s="102" t="inlineStr"/>
      <c r="B43" s="102" t="inlineStr"/>
      <c r="C43" s="103" t="inlineStr">
        <is>
          <t>Г3 — Общо</t>
        </is>
      </c>
      <c r="D43" s="104" t="n">
        <v>535200</v>
      </c>
      <c r="E43" s="104" t="n">
        <v>66200</v>
      </c>
      <c r="F43" s="104" t="n">
        <v>469000</v>
      </c>
      <c r="G43" s="104" t="n">
        <v>164760</v>
      </c>
      <c r="H43" s="104" t="n">
        <v>304240</v>
      </c>
      <c r="I43" s="110" t="n">
        <v>0</v>
      </c>
      <c r="J43" s="104" t="n">
        <v>304240</v>
      </c>
      <c r="K43" s="104" t="n">
        <v>413770</v>
      </c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2026-09-07T12:10:24Z</dcterms:created>
  <dcterms:modified xmlns:dcterms="http://purl.org/dc/terms/" xmlns:xsi="http://www.w3.org/2001/XMLSchema-instance" xsi:type="dcterms:W3CDTF">2026-09-07T12:10:24Z</dcterms:modified>
</cp:coreProperties>
</file>