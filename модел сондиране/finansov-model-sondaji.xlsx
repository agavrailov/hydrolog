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laude\Projects\Хидрогеоложки проучвания\"/>
    </mc:Choice>
  </mc:AlternateContent>
  <xr:revisionPtr revIDLastSave="0" documentId="13_ncr:1_{33590CF6-E473-4A8B-AD21-B46A4311C09A}" xr6:coauthVersionLast="47" xr6:coauthVersionMax="47" xr10:uidLastSave="{00000000-0000-0000-0000-000000000000}"/>
  <bookViews>
    <workbookView xWindow="-120" yWindow="-120" windowWidth="28110" windowHeight="16440" tabRatio="500" firstSheet="2" activeTab="8" xr2:uid="{00000000-000D-0000-FFFF-FFFF00000000}"/>
  </bookViews>
  <sheets>
    <sheet name="Указания" sheetId="1" r:id="rId1"/>
    <sheet name="Допускания" sheetId="2" r:id="rId2"/>
    <sheet name="Пакети" sheetId="3" r:id="rId3"/>
    <sheet name="Обеми" sheetId="4" r:id="rId4"/>
    <sheet name="ОПР" sheetId="5" r:id="rId5"/>
    <sheet name="Гаранционен фонд" sheetId="6" r:id="rId6"/>
    <sheet name="Паричен поток" sheetId="7" r:id="rId7"/>
    <sheet name="Годишно резюме" sheetId="8" r:id="rId8"/>
    <sheet name="Сценарии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2" l="1"/>
  <c r="G12" i="2"/>
  <c r="G13" i="2"/>
  <c r="D9" i="9"/>
  <c r="C9" i="9"/>
  <c r="C14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AO11" i="7" s="1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AL10" i="7"/>
  <c r="AK10" i="7"/>
  <c r="AJ10" i="7"/>
  <c r="AI10" i="7"/>
  <c r="AH10" i="7"/>
  <c r="AG10" i="7"/>
  <c r="AF10" i="7"/>
  <c r="AE10" i="7"/>
  <c r="AD10" i="7"/>
  <c r="AC10" i="7"/>
  <c r="AB10" i="7"/>
  <c r="Z10" i="7"/>
  <c r="Y10" i="7"/>
  <c r="X10" i="7"/>
  <c r="W10" i="7"/>
  <c r="V10" i="7"/>
  <c r="U10" i="7"/>
  <c r="T10" i="7"/>
  <c r="S10" i="7"/>
  <c r="R10" i="7"/>
  <c r="Q10" i="7"/>
  <c r="P10" i="7"/>
  <c r="N10" i="7"/>
  <c r="M10" i="7"/>
  <c r="L10" i="7"/>
  <c r="K10" i="7"/>
  <c r="J10" i="7"/>
  <c r="I10" i="7"/>
  <c r="H10" i="7"/>
  <c r="G10" i="7"/>
  <c r="F10" i="7"/>
  <c r="E10" i="7"/>
  <c r="AK9" i="7"/>
  <c r="AJ9" i="7"/>
  <c r="AI9" i="7"/>
  <c r="AH9" i="7"/>
  <c r="AG9" i="7"/>
  <c r="AF9" i="7"/>
  <c r="AE9" i="7"/>
  <c r="AD9" i="7"/>
  <c r="AC9" i="7"/>
  <c r="AB9" i="7"/>
  <c r="AA9" i="7"/>
  <c r="Y9" i="7"/>
  <c r="X9" i="7"/>
  <c r="W9" i="7"/>
  <c r="V9" i="7"/>
  <c r="U9" i="7"/>
  <c r="T9" i="7"/>
  <c r="S9" i="7"/>
  <c r="R9" i="7"/>
  <c r="Q9" i="7"/>
  <c r="P9" i="7"/>
  <c r="O9" i="7"/>
  <c r="M9" i="7"/>
  <c r="L9" i="7"/>
  <c r="K9" i="7"/>
  <c r="J9" i="7"/>
  <c r="I9" i="7"/>
  <c r="H9" i="7"/>
  <c r="G9" i="7"/>
  <c r="F9" i="7"/>
  <c r="E9" i="7"/>
  <c r="D9" i="7"/>
  <c r="C9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C13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P27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J10" i="4"/>
  <c r="AI10" i="4"/>
  <c r="AH10" i="4"/>
  <c r="X10" i="4"/>
  <c r="W10" i="4"/>
  <c r="V10" i="4"/>
  <c r="L10" i="4"/>
  <c r="K10" i="4"/>
  <c r="J10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Q25" i="5" s="1"/>
  <c r="P8" i="4"/>
  <c r="O8" i="4"/>
  <c r="N8" i="4"/>
  <c r="M8" i="4"/>
  <c r="L8" i="4"/>
  <c r="K8" i="4"/>
  <c r="J8" i="4"/>
  <c r="I8" i="4"/>
  <c r="H8" i="4"/>
  <c r="G8" i="4"/>
  <c r="F8" i="4"/>
  <c r="E8" i="4"/>
  <c r="E25" i="5" s="1"/>
  <c r="D8" i="4"/>
  <c r="D25" i="5" s="1"/>
  <c r="D26" i="5" s="1"/>
  <c r="C8" i="4"/>
  <c r="C25" i="5" s="1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E36" i="3"/>
  <c r="D36" i="3"/>
  <c r="C36" i="3"/>
  <c r="E35" i="3"/>
  <c r="D35" i="3"/>
  <c r="C35" i="3"/>
  <c r="K13" i="3"/>
  <c r="J13" i="3"/>
  <c r="I13" i="3"/>
  <c r="H13" i="3"/>
  <c r="G13" i="3"/>
  <c r="F13" i="3"/>
  <c r="E13" i="3"/>
  <c r="D13" i="3"/>
  <c r="C13" i="3"/>
  <c r="K11" i="3"/>
  <c r="J11" i="3"/>
  <c r="J7" i="3"/>
  <c r="J8" i="3" s="1"/>
  <c r="I7" i="3"/>
  <c r="I8" i="3" s="1"/>
  <c r="H7" i="3"/>
  <c r="H8" i="3" s="1"/>
  <c r="G7" i="3"/>
  <c r="G8" i="3" s="1"/>
  <c r="F7" i="3"/>
  <c r="E7" i="3"/>
  <c r="D7" i="3"/>
  <c r="K6" i="3"/>
  <c r="K12" i="3" s="1"/>
  <c r="J6" i="3"/>
  <c r="J12" i="3" s="1"/>
  <c r="I6" i="3"/>
  <c r="I11" i="3" s="1"/>
  <c r="H6" i="3"/>
  <c r="H12" i="3" s="1"/>
  <c r="G6" i="3"/>
  <c r="G12" i="3" s="1"/>
  <c r="F6" i="3"/>
  <c r="F12" i="3" s="1"/>
  <c r="E6" i="3"/>
  <c r="E12" i="3" s="1"/>
  <c r="D6" i="3"/>
  <c r="D11" i="3" s="1"/>
  <c r="C6" i="3"/>
  <c r="C99" i="2"/>
  <c r="E91" i="2"/>
  <c r="AA10" i="7" s="1"/>
  <c r="D91" i="2"/>
  <c r="O10" i="7" s="1"/>
  <c r="C91" i="2"/>
  <c r="U32" i="5" s="1"/>
  <c r="E82" i="2"/>
  <c r="D82" i="2"/>
  <c r="Y27" i="5" s="1"/>
  <c r="C82" i="2"/>
  <c r="M27" i="5" s="1"/>
  <c r="E73" i="2"/>
  <c r="AE25" i="5" s="1"/>
  <c r="AE26" i="5" s="1"/>
  <c r="D73" i="2"/>
  <c r="C73" i="2"/>
  <c r="C65" i="2"/>
  <c r="D65" i="2" s="1"/>
  <c r="E38" i="2"/>
  <c r="D38" i="2"/>
  <c r="C38" i="2"/>
  <c r="F14" i="3" s="1"/>
  <c r="F15" i="2"/>
  <c r="G15" i="2" s="1"/>
  <c r="C8" i="2"/>
  <c r="H11" i="3" s="1"/>
  <c r="C7" i="2"/>
  <c r="C7" i="3" s="1"/>
  <c r="C6" i="2"/>
  <c r="AG10" i="4" s="1"/>
  <c r="J19" i="3" l="1"/>
  <c r="H19" i="3"/>
  <c r="I19" i="3"/>
  <c r="AO10" i="7"/>
  <c r="AP10" i="7"/>
  <c r="E32" i="5"/>
  <c r="AC25" i="5"/>
  <c r="AC26" i="5" s="1"/>
  <c r="AC28" i="5" s="1"/>
  <c r="AC7" i="7" s="1"/>
  <c r="G25" i="5"/>
  <c r="G26" i="5" s="1"/>
  <c r="G28" i="5" s="1"/>
  <c r="G7" i="7" s="1"/>
  <c r="J25" i="5"/>
  <c r="J26" i="5" s="1"/>
  <c r="J28" i="5" s="1"/>
  <c r="J7" i="7" s="1"/>
  <c r="K25" i="5"/>
  <c r="K26" i="5" s="1"/>
  <c r="K28" i="5" s="1"/>
  <c r="K7" i="7" s="1"/>
  <c r="L25" i="5"/>
  <c r="AH25" i="5"/>
  <c r="AH26" i="5" s="1"/>
  <c r="AH28" i="5" s="1"/>
  <c r="AH7" i="7" s="1"/>
  <c r="AI25" i="5"/>
  <c r="AI26" i="5" s="1"/>
  <c r="AI28" i="5" s="1"/>
  <c r="AI7" i="7" s="1"/>
  <c r="AJ25" i="5"/>
  <c r="AJ26" i="5" s="1"/>
  <c r="AJ28" i="5" s="1"/>
  <c r="AJ7" i="7" s="1"/>
  <c r="S25" i="5"/>
  <c r="S26" i="5" s="1"/>
  <c r="V25" i="5"/>
  <c r="V26" i="5" s="1"/>
  <c r="W25" i="5"/>
  <c r="W26" i="5" s="1"/>
  <c r="W28" i="5" s="1"/>
  <c r="W7" i="7" s="1"/>
  <c r="X25" i="5"/>
  <c r="X26" i="5" s="1"/>
  <c r="X28" i="5" s="1"/>
  <c r="X7" i="7" s="1"/>
  <c r="AH9" i="4"/>
  <c r="W9" i="4"/>
  <c r="AI9" i="4"/>
  <c r="AI11" i="4" s="1"/>
  <c r="L9" i="4"/>
  <c r="L11" i="4" s="1"/>
  <c r="L5" i="6" s="1"/>
  <c r="L6" i="6" s="1"/>
  <c r="V9" i="4"/>
  <c r="W11" i="4"/>
  <c r="W5" i="6" s="1"/>
  <c r="W6" i="6" s="1"/>
  <c r="AH11" i="4"/>
  <c r="AH13" i="4" s="1"/>
  <c r="V11" i="4"/>
  <c r="V5" i="6" s="1"/>
  <c r="V6" i="6" s="1"/>
  <c r="D37" i="3"/>
  <c r="E37" i="3"/>
  <c r="C37" i="3"/>
  <c r="C14" i="3"/>
  <c r="I14" i="3"/>
  <c r="G19" i="3"/>
  <c r="X9" i="4"/>
  <c r="X11" i="4" s="1"/>
  <c r="AJ9" i="4"/>
  <c r="AJ11" i="4" s="1"/>
  <c r="L26" i="5"/>
  <c r="C8" i="3"/>
  <c r="C19" i="3"/>
  <c r="C28" i="3"/>
  <c r="I9" i="4"/>
  <c r="U9" i="4"/>
  <c r="AG9" i="4"/>
  <c r="AG11" i="4" s="1"/>
  <c r="J9" i="4"/>
  <c r="J11" i="4" s="1"/>
  <c r="F19" i="3"/>
  <c r="F8" i="3"/>
  <c r="D28" i="3"/>
  <c r="D40" i="3" s="1"/>
  <c r="C32" i="3"/>
  <c r="C11" i="3"/>
  <c r="K9" i="4"/>
  <c r="K11" i="4" s="1"/>
  <c r="D14" i="3"/>
  <c r="J14" i="3"/>
  <c r="J15" i="3" s="1"/>
  <c r="J23" i="3" s="1"/>
  <c r="E14" i="3"/>
  <c r="K14" i="3"/>
  <c r="K15" i="3" s="1"/>
  <c r="D19" i="3"/>
  <c r="D8" i="3"/>
  <c r="G14" i="3"/>
  <c r="E26" i="5"/>
  <c r="E28" i="5" s="1"/>
  <c r="E7" i="7" s="1"/>
  <c r="Q26" i="5"/>
  <c r="Q28" i="5" s="1"/>
  <c r="Q7" i="7" s="1"/>
  <c r="E19" i="3"/>
  <c r="E8" i="3"/>
  <c r="C12" i="3"/>
  <c r="H14" i="3"/>
  <c r="H15" i="3" s="1"/>
  <c r="D12" i="3"/>
  <c r="M25" i="5"/>
  <c r="Y25" i="5"/>
  <c r="AK25" i="5"/>
  <c r="M9" i="4"/>
  <c r="Y9" i="4"/>
  <c r="AK9" i="4"/>
  <c r="M10" i="4"/>
  <c r="Y10" i="4"/>
  <c r="AK10" i="4"/>
  <c r="D27" i="5"/>
  <c r="D28" i="5" s="1"/>
  <c r="D7" i="7" s="1"/>
  <c r="N25" i="5"/>
  <c r="Z25" i="5"/>
  <c r="AL25" i="5"/>
  <c r="N9" i="4"/>
  <c r="Z9" i="4"/>
  <c r="AL9" i="4"/>
  <c r="N10" i="4"/>
  <c r="Z10" i="4"/>
  <c r="AL10" i="4"/>
  <c r="K27" i="5"/>
  <c r="O25" i="5"/>
  <c r="AA25" i="5"/>
  <c r="C9" i="4"/>
  <c r="O9" i="4"/>
  <c r="AA9" i="4"/>
  <c r="C10" i="4"/>
  <c r="O10" i="4"/>
  <c r="AA10" i="4"/>
  <c r="D9" i="4"/>
  <c r="AB10" i="4"/>
  <c r="H27" i="5"/>
  <c r="G27" i="5"/>
  <c r="F27" i="5"/>
  <c r="E27" i="5"/>
  <c r="C27" i="5"/>
  <c r="N27" i="5"/>
  <c r="L27" i="5"/>
  <c r="J27" i="5"/>
  <c r="I27" i="5"/>
  <c r="K7" i="3"/>
  <c r="E28" i="3" s="1"/>
  <c r="E11" i="3"/>
  <c r="E32" i="3"/>
  <c r="E9" i="4"/>
  <c r="Q9" i="4"/>
  <c r="AC9" i="4"/>
  <c r="E10" i="4"/>
  <c r="Q10" i="4"/>
  <c r="AC10" i="4"/>
  <c r="W27" i="5"/>
  <c r="N32" i="5"/>
  <c r="D32" i="3"/>
  <c r="P25" i="5"/>
  <c r="P10" i="4"/>
  <c r="F11" i="3"/>
  <c r="F15" i="3" s="1"/>
  <c r="F17" i="3" s="1"/>
  <c r="F25" i="5"/>
  <c r="R25" i="5"/>
  <c r="AD25" i="5"/>
  <c r="F9" i="4"/>
  <c r="R9" i="4"/>
  <c r="AD9" i="4"/>
  <c r="F10" i="4"/>
  <c r="R10" i="4"/>
  <c r="AD10" i="4"/>
  <c r="R32" i="5"/>
  <c r="AB25" i="5"/>
  <c r="D10" i="4"/>
  <c r="T27" i="5"/>
  <c r="S27" i="5"/>
  <c r="R27" i="5"/>
  <c r="Q27" i="5"/>
  <c r="O27" i="5"/>
  <c r="Z27" i="5"/>
  <c r="X27" i="5"/>
  <c r="V27" i="5"/>
  <c r="U27" i="5"/>
  <c r="I12" i="3"/>
  <c r="I15" i="3" s="1"/>
  <c r="AF27" i="5"/>
  <c r="AE27" i="5"/>
  <c r="AE28" i="5" s="1"/>
  <c r="AE7" i="7" s="1"/>
  <c r="AD27" i="5"/>
  <c r="AC27" i="5"/>
  <c r="AA27" i="5"/>
  <c r="AL27" i="5"/>
  <c r="AJ27" i="5"/>
  <c r="AH27" i="5"/>
  <c r="AG27" i="5"/>
  <c r="G11" i="3"/>
  <c r="G9" i="4"/>
  <c r="S9" i="4"/>
  <c r="AE9" i="4"/>
  <c r="G10" i="4"/>
  <c r="S10" i="4"/>
  <c r="AE10" i="4"/>
  <c r="AB27" i="5"/>
  <c r="AB9" i="4"/>
  <c r="AK32" i="5"/>
  <c r="Y32" i="5"/>
  <c r="M32" i="5"/>
  <c r="AJ32" i="5"/>
  <c r="X32" i="5"/>
  <c r="L32" i="5"/>
  <c r="D10" i="7"/>
  <c r="AC32" i="5"/>
  <c r="Q32" i="5"/>
  <c r="AA32" i="5"/>
  <c r="O32" i="5"/>
  <c r="C32" i="5"/>
  <c r="C10" i="7"/>
  <c r="AN10" i="7" s="1"/>
  <c r="AB32" i="5"/>
  <c r="I32" i="5"/>
  <c r="Z32" i="5"/>
  <c r="H32" i="5"/>
  <c r="W32" i="5"/>
  <c r="G32" i="5"/>
  <c r="V32" i="5"/>
  <c r="F32" i="5"/>
  <c r="AL32" i="5"/>
  <c r="T32" i="5"/>
  <c r="D32" i="5"/>
  <c r="AI32" i="5"/>
  <c r="S32" i="5"/>
  <c r="AG32" i="5"/>
  <c r="P32" i="5"/>
  <c r="AE32" i="5"/>
  <c r="K32" i="5"/>
  <c r="AD32" i="5"/>
  <c r="J32" i="5"/>
  <c r="H25" i="5"/>
  <c r="T25" i="5"/>
  <c r="AF25" i="5"/>
  <c r="H9" i="4"/>
  <c r="T9" i="4"/>
  <c r="AF9" i="4"/>
  <c r="H10" i="4"/>
  <c r="T10" i="4"/>
  <c r="AF10" i="4"/>
  <c r="AI27" i="5"/>
  <c r="AF32" i="5"/>
  <c r="C26" i="5"/>
  <c r="C28" i="5" s="1"/>
  <c r="P9" i="4"/>
  <c r="I25" i="5"/>
  <c r="U25" i="5"/>
  <c r="AG25" i="5"/>
  <c r="I10" i="4"/>
  <c r="U10" i="4"/>
  <c r="AK27" i="5"/>
  <c r="AH32" i="5"/>
  <c r="AN11" i="7"/>
  <c r="AP11" i="7"/>
  <c r="J24" i="3" l="1"/>
  <c r="AN32" i="5"/>
  <c r="C20" i="8" s="1"/>
  <c r="AN25" i="5"/>
  <c r="V28" i="5"/>
  <c r="V7" i="7" s="1"/>
  <c r="S28" i="5"/>
  <c r="S7" i="7" s="1"/>
  <c r="L28" i="5"/>
  <c r="L7" i="7" s="1"/>
  <c r="W7" i="5"/>
  <c r="W16" i="5"/>
  <c r="AI12" i="4"/>
  <c r="AI14" i="5" s="1"/>
  <c r="AI5" i="6"/>
  <c r="AI6" i="6" s="1"/>
  <c r="AI7" i="5"/>
  <c r="AI13" i="4"/>
  <c r="AI16" i="5"/>
  <c r="AH16" i="5"/>
  <c r="W13" i="4"/>
  <c r="V12" i="4"/>
  <c r="V14" i="5" s="1"/>
  <c r="W6" i="5"/>
  <c r="W18" i="5" s="1"/>
  <c r="W8" i="7" s="1"/>
  <c r="V7" i="5"/>
  <c r="V13" i="4"/>
  <c r="W12" i="4"/>
  <c r="W13" i="5" s="1"/>
  <c r="V16" i="5"/>
  <c r="AH7" i="5"/>
  <c r="AH5" i="6"/>
  <c r="AH6" i="6" s="1"/>
  <c r="AH7" i="6" s="1"/>
  <c r="AH9" i="6" s="1"/>
  <c r="E11" i="4"/>
  <c r="E6" i="5" s="1"/>
  <c r="E18" i="5" s="1"/>
  <c r="AH12" i="4"/>
  <c r="AH14" i="5" s="1"/>
  <c r="AE11" i="4"/>
  <c r="AE16" i="5" s="1"/>
  <c r="L12" i="4"/>
  <c r="L14" i="5" s="1"/>
  <c r="N11" i="4"/>
  <c r="N13" i="4" s="1"/>
  <c r="AA11" i="4"/>
  <c r="AA13" i="4" s="1"/>
  <c r="L7" i="5"/>
  <c r="L13" i="4"/>
  <c r="D11" i="4"/>
  <c r="D16" i="5" s="1"/>
  <c r="T11" i="4"/>
  <c r="T13" i="4" s="1"/>
  <c r="C11" i="4"/>
  <c r="C13" i="4" s="1"/>
  <c r="U11" i="4"/>
  <c r="U16" i="5" s="1"/>
  <c r="L6" i="5"/>
  <c r="L18" i="5" s="1"/>
  <c r="L8" i="7" s="1"/>
  <c r="I11" i="4"/>
  <c r="I5" i="6" s="1"/>
  <c r="I6" i="6" s="1"/>
  <c r="L16" i="5"/>
  <c r="H11" i="4"/>
  <c r="H13" i="4" s="1"/>
  <c r="AC11" i="4"/>
  <c r="AC5" i="6" s="1"/>
  <c r="AC6" i="6" s="1"/>
  <c r="G11" i="4"/>
  <c r="G12" i="4" s="1"/>
  <c r="AF11" i="4"/>
  <c r="AF7" i="5" s="1"/>
  <c r="AB11" i="4"/>
  <c r="AB7" i="5" s="1"/>
  <c r="G15" i="3"/>
  <c r="G23" i="3" s="1"/>
  <c r="G24" i="3" s="1"/>
  <c r="E15" i="3"/>
  <c r="E23" i="3" s="1"/>
  <c r="E24" i="3" s="1"/>
  <c r="D33" i="3"/>
  <c r="J17" i="3"/>
  <c r="J20" i="3" s="1"/>
  <c r="J21" i="3" s="1"/>
  <c r="D15" i="3"/>
  <c r="D23" i="3" s="1"/>
  <c r="D24" i="3" s="1"/>
  <c r="H23" i="3"/>
  <c r="H24" i="3" s="1"/>
  <c r="H17" i="3"/>
  <c r="E29" i="3"/>
  <c r="C29" i="9" s="1"/>
  <c r="I23" i="3"/>
  <c r="I17" i="3"/>
  <c r="C31" i="9"/>
  <c r="E40" i="3"/>
  <c r="AD11" i="4"/>
  <c r="AO27" i="5"/>
  <c r="AK11" i="4"/>
  <c r="C15" i="3"/>
  <c r="W7" i="6"/>
  <c r="W9" i="6" s="1"/>
  <c r="AF26" i="5"/>
  <c r="AF28" i="5" s="1"/>
  <c r="AF7" i="7" s="1"/>
  <c r="K17" i="3"/>
  <c r="K18" i="3" s="1"/>
  <c r="K19" i="3"/>
  <c r="K8" i="3"/>
  <c r="T26" i="5"/>
  <c r="T28" i="5" s="1"/>
  <c r="T7" i="7" s="1"/>
  <c r="R11" i="4"/>
  <c r="H26" i="5"/>
  <c r="H28" i="5" s="1"/>
  <c r="H7" i="7" s="1"/>
  <c r="F11" i="4"/>
  <c r="Y11" i="4"/>
  <c r="V6" i="5"/>
  <c r="V18" i="5" s="1"/>
  <c r="AH6" i="5"/>
  <c r="AH18" i="5" s="1"/>
  <c r="L7" i="6"/>
  <c r="L9" i="6" s="1"/>
  <c r="AP27" i="5"/>
  <c r="AD26" i="5"/>
  <c r="AD28" i="5" s="1"/>
  <c r="AD7" i="7" s="1"/>
  <c r="AL11" i="4"/>
  <c r="M11" i="4"/>
  <c r="F20" i="3"/>
  <c r="F21" i="3" s="1"/>
  <c r="O26" i="5"/>
  <c r="AO25" i="5"/>
  <c r="AP32" i="5"/>
  <c r="E20" i="8" s="1"/>
  <c r="F20" i="8" s="1"/>
  <c r="C7" i="7"/>
  <c r="R26" i="5"/>
  <c r="R28" i="5" s="1"/>
  <c r="R7" i="7" s="1"/>
  <c r="Z11" i="4"/>
  <c r="AK26" i="5"/>
  <c r="AK28" i="5" s="1"/>
  <c r="AK7" i="7" s="1"/>
  <c r="AJ5" i="6"/>
  <c r="AJ6" i="6" s="1"/>
  <c r="AJ16" i="5"/>
  <c r="AJ6" i="5"/>
  <c r="AJ18" i="5" s="1"/>
  <c r="AJ13" i="4"/>
  <c r="AJ12" i="4"/>
  <c r="AJ7" i="5"/>
  <c r="AG26" i="5"/>
  <c r="AG28" i="5" s="1"/>
  <c r="AG7" i="7" s="1"/>
  <c r="AG7" i="5"/>
  <c r="AG16" i="5"/>
  <c r="AG6" i="5"/>
  <c r="AG18" i="5" s="1"/>
  <c r="AG13" i="4"/>
  <c r="AG5" i="6"/>
  <c r="AG6" i="6" s="1"/>
  <c r="AG12" i="4"/>
  <c r="AO32" i="5"/>
  <c r="D20" i="8" s="1"/>
  <c r="C40" i="3"/>
  <c r="F26" i="5"/>
  <c r="F28" i="5" s="1"/>
  <c r="AN27" i="5"/>
  <c r="Y26" i="5"/>
  <c r="Y28" i="5" s="1"/>
  <c r="Y7" i="7" s="1"/>
  <c r="V7" i="6"/>
  <c r="V9" i="6" s="1"/>
  <c r="I26" i="5"/>
  <c r="I28" i="5" s="1"/>
  <c r="I7" i="7" s="1"/>
  <c r="C33" i="3"/>
  <c r="L15" i="5" s="1"/>
  <c r="S11" i="4"/>
  <c r="Q11" i="4"/>
  <c r="O11" i="4"/>
  <c r="AL26" i="5"/>
  <c r="AL28" i="5" s="1"/>
  <c r="AL7" i="7" s="1"/>
  <c r="M26" i="5"/>
  <c r="M28" i="5" s="1"/>
  <c r="M7" i="7" s="1"/>
  <c r="X5" i="6"/>
  <c r="X6" i="6" s="1"/>
  <c r="X16" i="5"/>
  <c r="X6" i="5"/>
  <c r="X18" i="5" s="1"/>
  <c r="X13" i="4"/>
  <c r="X12" i="4"/>
  <c r="X7" i="5"/>
  <c r="AI6" i="5"/>
  <c r="AI18" i="5" s="1"/>
  <c r="U26" i="5"/>
  <c r="U28" i="5" s="1"/>
  <c r="U7" i="7" s="1"/>
  <c r="G17" i="3"/>
  <c r="D30" i="3" s="1"/>
  <c r="D41" i="3" s="1"/>
  <c r="D42" i="3" s="1"/>
  <c r="Z26" i="5"/>
  <c r="Z28" i="5" s="1"/>
  <c r="Z7" i="7" s="1"/>
  <c r="K23" i="3"/>
  <c r="E33" i="3"/>
  <c r="AJ15" i="5" s="1"/>
  <c r="P26" i="5"/>
  <c r="P28" i="5" s="1"/>
  <c r="P7" i="7" s="1"/>
  <c r="K5" i="6"/>
  <c r="K6" i="6" s="1"/>
  <c r="K16" i="5"/>
  <c r="K6" i="5"/>
  <c r="K18" i="5" s="1"/>
  <c r="K13" i="4"/>
  <c r="K12" i="4"/>
  <c r="K7" i="5"/>
  <c r="P11" i="4"/>
  <c r="AB26" i="5"/>
  <c r="AB28" i="5" s="1"/>
  <c r="AB7" i="7" s="1"/>
  <c r="D29" i="3"/>
  <c r="W8" i="6" s="1"/>
  <c r="F23" i="3"/>
  <c r="AA26" i="5"/>
  <c r="AA28" i="5" s="1"/>
  <c r="AP25" i="5"/>
  <c r="N26" i="5"/>
  <c r="N28" i="5" s="1"/>
  <c r="N7" i="7" s="1"/>
  <c r="J5" i="6"/>
  <c r="J6" i="6" s="1"/>
  <c r="J16" i="5"/>
  <c r="J6" i="5"/>
  <c r="J18" i="5" s="1"/>
  <c r="J13" i="4"/>
  <c r="J12" i="4"/>
  <c r="J7" i="5"/>
  <c r="AI7" i="6"/>
  <c r="AI9" i="6" s="1"/>
  <c r="F18" i="3"/>
  <c r="E17" i="3" l="1"/>
  <c r="J18" i="3"/>
  <c r="AI13" i="5"/>
  <c r="V13" i="5"/>
  <c r="AO26" i="5"/>
  <c r="AE7" i="5"/>
  <c r="W11" i="6"/>
  <c r="AE5" i="6"/>
  <c r="AE6" i="6" s="1"/>
  <c r="D5" i="6"/>
  <c r="D6" i="6" s="1"/>
  <c r="W14" i="5"/>
  <c r="AF16" i="5"/>
  <c r="AB13" i="4"/>
  <c r="E12" i="4"/>
  <c r="E13" i="5" s="1"/>
  <c r="E5" i="6"/>
  <c r="E6" i="6" s="1"/>
  <c r="L11" i="6"/>
  <c r="E7" i="5"/>
  <c r="U5" i="6"/>
  <c r="U6" i="6" s="1"/>
  <c r="U8" i="6" s="1"/>
  <c r="E16" i="5"/>
  <c r="U7" i="5"/>
  <c r="T6" i="5"/>
  <c r="T18" i="5" s="1"/>
  <c r="T11" i="6" s="1"/>
  <c r="T16" i="5"/>
  <c r="T7" i="5"/>
  <c r="AH13" i="5"/>
  <c r="C16" i="5"/>
  <c r="U12" i="4"/>
  <c r="U14" i="5" s="1"/>
  <c r="U13" i="4"/>
  <c r="U6" i="5"/>
  <c r="U18" i="5" s="1"/>
  <c r="U11" i="6" s="1"/>
  <c r="E13" i="4"/>
  <c r="N16" i="5"/>
  <c r="AA16" i="5"/>
  <c r="AC6" i="5"/>
  <c r="AC18" i="5" s="1"/>
  <c r="AC11" i="6" s="1"/>
  <c r="G7" i="5"/>
  <c r="AC7" i="5"/>
  <c r="AA5" i="6"/>
  <c r="AA6" i="6" s="1"/>
  <c r="AC13" i="4"/>
  <c r="G6" i="5"/>
  <c r="G18" i="5" s="1"/>
  <c r="G11" i="6" s="1"/>
  <c r="AC12" i="4"/>
  <c r="AC14" i="5" s="1"/>
  <c r="L13" i="5"/>
  <c r="AE12" i="4"/>
  <c r="AE13" i="5" s="1"/>
  <c r="N6" i="5"/>
  <c r="N18" i="5" s="1"/>
  <c r="N8" i="7" s="1"/>
  <c r="AA6" i="5"/>
  <c r="AA18" i="5" s="1"/>
  <c r="G13" i="4"/>
  <c r="N7" i="5"/>
  <c r="G16" i="5"/>
  <c r="G5" i="6"/>
  <c r="G6" i="6" s="1"/>
  <c r="AE13" i="4"/>
  <c r="AE6" i="5"/>
  <c r="AE18" i="5" s="1"/>
  <c r="AE11" i="6" s="1"/>
  <c r="N5" i="6"/>
  <c r="N6" i="6" s="1"/>
  <c r="N7" i="6" s="1"/>
  <c r="N9" i="6" s="1"/>
  <c r="AB12" i="4"/>
  <c r="AB13" i="5" s="1"/>
  <c r="AP11" i="4"/>
  <c r="E16" i="9" s="1"/>
  <c r="AB16" i="5"/>
  <c r="AB5" i="6"/>
  <c r="AB6" i="6" s="1"/>
  <c r="AB8" i="6" s="1"/>
  <c r="N12" i="4"/>
  <c r="N13" i="5" s="1"/>
  <c r="AC16" i="5"/>
  <c r="AF5" i="6"/>
  <c r="AF6" i="6" s="1"/>
  <c r="AF7" i="6" s="1"/>
  <c r="AF9" i="6" s="1"/>
  <c r="U15" i="5"/>
  <c r="D13" i="4"/>
  <c r="C6" i="5"/>
  <c r="C18" i="5" s="1"/>
  <c r="D6" i="5"/>
  <c r="D18" i="5" s="1"/>
  <c r="D11" i="6" s="1"/>
  <c r="AF12" i="4"/>
  <c r="AF14" i="5" s="1"/>
  <c r="C5" i="6"/>
  <c r="C6" i="6" s="1"/>
  <c r="C7" i="5"/>
  <c r="D7" i="5"/>
  <c r="AB6" i="5"/>
  <c r="AB18" i="5" s="1"/>
  <c r="AB8" i="7" s="1"/>
  <c r="T5" i="6"/>
  <c r="T6" i="6" s="1"/>
  <c r="T7" i="6" s="1"/>
  <c r="T9" i="6" s="1"/>
  <c r="C12" i="4"/>
  <c r="AA7" i="5"/>
  <c r="AF13" i="4"/>
  <c r="C8" i="5"/>
  <c r="AA12" i="4"/>
  <c r="AA13" i="5" s="1"/>
  <c r="AF6" i="5"/>
  <c r="AF18" i="5" s="1"/>
  <c r="AF8" i="7" s="1"/>
  <c r="D12" i="4"/>
  <c r="D14" i="5" s="1"/>
  <c r="T12" i="4"/>
  <c r="T14" i="5" s="1"/>
  <c r="H6" i="5"/>
  <c r="H18" i="5" s="1"/>
  <c r="H8" i="7" s="1"/>
  <c r="I12" i="4"/>
  <c r="I14" i="5" s="1"/>
  <c r="H7" i="5"/>
  <c r="I13" i="4"/>
  <c r="H5" i="6"/>
  <c r="H6" i="6" s="1"/>
  <c r="H7" i="6" s="1"/>
  <c r="H9" i="6" s="1"/>
  <c r="I6" i="5"/>
  <c r="I18" i="5" s="1"/>
  <c r="I11" i="6" s="1"/>
  <c r="H16" i="5"/>
  <c r="I7" i="5"/>
  <c r="H12" i="4"/>
  <c r="H14" i="5" s="1"/>
  <c r="I16" i="5"/>
  <c r="AN11" i="4"/>
  <c r="C5" i="8" s="1"/>
  <c r="D17" i="3"/>
  <c r="T15" i="5"/>
  <c r="N15" i="5"/>
  <c r="W15" i="5"/>
  <c r="C15" i="5"/>
  <c r="X15" i="5"/>
  <c r="V15" i="5"/>
  <c r="AH8" i="6"/>
  <c r="AH10" i="6" s="1"/>
  <c r="AI8" i="6"/>
  <c r="AI10" i="6" s="1"/>
  <c r="K15" i="5"/>
  <c r="D15" i="5"/>
  <c r="E15" i="5"/>
  <c r="H15" i="5"/>
  <c r="G15" i="5"/>
  <c r="J15" i="5"/>
  <c r="K24" i="3"/>
  <c r="W10" i="6"/>
  <c r="F7" i="7"/>
  <c r="AN28" i="5"/>
  <c r="C17" i="8" s="1"/>
  <c r="AJ8" i="7"/>
  <c r="AJ11" i="6"/>
  <c r="O28" i="5"/>
  <c r="AK5" i="6"/>
  <c r="AK6" i="6" s="1"/>
  <c r="AK15" i="5"/>
  <c r="AK13" i="4"/>
  <c r="AK12" i="4"/>
  <c r="AK16" i="5"/>
  <c r="AK6" i="5"/>
  <c r="AK18" i="5" s="1"/>
  <c r="AK7" i="5"/>
  <c r="E31" i="3"/>
  <c r="I24" i="3"/>
  <c r="AI15" i="5"/>
  <c r="AH15" i="5"/>
  <c r="X8" i="7"/>
  <c r="X11" i="6"/>
  <c r="V8" i="6"/>
  <c r="V10" i="6" s="1"/>
  <c r="AG11" i="6"/>
  <c r="AG8" i="7"/>
  <c r="AJ8" i="6"/>
  <c r="AJ7" i="6"/>
  <c r="AJ9" i="6" s="1"/>
  <c r="AN26" i="5"/>
  <c r="S5" i="6"/>
  <c r="S6" i="6" s="1"/>
  <c r="S16" i="5"/>
  <c r="S7" i="5"/>
  <c r="S6" i="5"/>
  <c r="S18" i="5" s="1"/>
  <c r="S15" i="5"/>
  <c r="S13" i="4"/>
  <c r="S12" i="4"/>
  <c r="J8" i="7"/>
  <c r="J11" i="6"/>
  <c r="AE15" i="5"/>
  <c r="AC15" i="5"/>
  <c r="R5" i="6"/>
  <c r="R6" i="6" s="1"/>
  <c r="R16" i="5"/>
  <c r="R15" i="5"/>
  <c r="R12" i="4"/>
  <c r="R7" i="5"/>
  <c r="R6" i="5"/>
  <c r="R18" i="5" s="1"/>
  <c r="R13" i="4"/>
  <c r="AD5" i="6"/>
  <c r="AD6" i="6" s="1"/>
  <c r="AD16" i="5"/>
  <c r="AD15" i="5"/>
  <c r="AD12" i="4"/>
  <c r="AD7" i="5"/>
  <c r="AD6" i="5"/>
  <c r="AD18" i="5" s="1"/>
  <c r="AD13" i="4"/>
  <c r="AG14" i="5"/>
  <c r="AG13" i="5"/>
  <c r="E11" i="6"/>
  <c r="E8" i="7"/>
  <c r="E5" i="8"/>
  <c r="E20" i="3"/>
  <c r="E21" i="3" s="1"/>
  <c r="E18" i="3"/>
  <c r="K7" i="6"/>
  <c r="K9" i="6" s="1"/>
  <c r="C23" i="3"/>
  <c r="C29" i="3"/>
  <c r="L8" i="6" s="1"/>
  <c r="L10" i="6" s="1"/>
  <c r="C17" i="3"/>
  <c r="D7" i="6"/>
  <c r="D9" i="6" s="1"/>
  <c r="AC7" i="6"/>
  <c r="AC9" i="6" s="1"/>
  <c r="AC8" i="6"/>
  <c r="M5" i="6"/>
  <c r="M6" i="6" s="1"/>
  <c r="M15" i="5"/>
  <c r="M16" i="5"/>
  <c r="M13" i="4"/>
  <c r="M12" i="4"/>
  <c r="M7" i="5"/>
  <c r="M6" i="5"/>
  <c r="M18" i="5" s="1"/>
  <c r="I15" i="5"/>
  <c r="C28" i="9"/>
  <c r="F24" i="3"/>
  <c r="D31" i="3"/>
  <c r="Q5" i="6"/>
  <c r="Q6" i="6" s="1"/>
  <c r="Q16" i="5"/>
  <c r="Q15" i="5"/>
  <c r="Q12" i="4"/>
  <c r="Q7" i="5"/>
  <c r="Q6" i="5"/>
  <c r="Q18" i="5" s="1"/>
  <c r="Q13" i="4"/>
  <c r="I20" i="3"/>
  <c r="I21" i="3" s="1"/>
  <c r="E30" i="3"/>
  <c r="E41" i="3" s="1"/>
  <c r="E42" i="3" s="1"/>
  <c r="I18" i="3"/>
  <c r="J7" i="6"/>
  <c r="J9" i="6" s="1"/>
  <c r="X8" i="6"/>
  <c r="X7" i="6"/>
  <c r="X9" i="6" s="1"/>
  <c r="K14" i="5"/>
  <c r="K13" i="5"/>
  <c r="AE7" i="6"/>
  <c r="AE9" i="6" s="1"/>
  <c r="AE8" i="6"/>
  <c r="AA15" i="5"/>
  <c r="AL7" i="5"/>
  <c r="AL5" i="6"/>
  <c r="AL6" i="6" s="1"/>
  <c r="AL16" i="5"/>
  <c r="AL13" i="4"/>
  <c r="AL15" i="5"/>
  <c r="AL12" i="4"/>
  <c r="AL6" i="5"/>
  <c r="AL18" i="5" s="1"/>
  <c r="I7" i="6"/>
  <c r="I9" i="6" s="1"/>
  <c r="AF8" i="6"/>
  <c r="D20" i="3"/>
  <c r="D21" i="3" s="1"/>
  <c r="D18" i="3"/>
  <c r="G14" i="5"/>
  <c r="G13" i="5"/>
  <c r="AB15" i="5"/>
  <c r="AG15" i="5"/>
  <c r="AH8" i="7"/>
  <c r="AH11" i="6"/>
  <c r="AF15" i="5"/>
  <c r="J14" i="5"/>
  <c r="J13" i="5"/>
  <c r="X14" i="5"/>
  <c r="X13" i="5"/>
  <c r="AG8" i="6"/>
  <c r="AG7" i="6"/>
  <c r="AG9" i="6" s="1"/>
  <c r="Z16" i="5"/>
  <c r="Z13" i="4"/>
  <c r="Z12" i="4"/>
  <c r="Z15" i="5"/>
  <c r="Z7" i="5"/>
  <c r="Z5" i="6"/>
  <c r="Z6" i="6" s="1"/>
  <c r="Z6" i="5"/>
  <c r="Z18" i="5" s="1"/>
  <c r="AP26" i="5"/>
  <c r="G7" i="6"/>
  <c r="G9" i="6" s="1"/>
  <c r="K8" i="7"/>
  <c r="K11" i="6"/>
  <c r="C14" i="5"/>
  <c r="C13" i="5"/>
  <c r="E7" i="6"/>
  <c r="E9" i="6" s="1"/>
  <c r="AJ14" i="5"/>
  <c r="AJ13" i="5"/>
  <c r="AN7" i="7"/>
  <c r="V8" i="7"/>
  <c r="V11" i="6"/>
  <c r="K20" i="3"/>
  <c r="K21" i="3" s="1"/>
  <c r="H20" i="3"/>
  <c r="H21" i="3" s="1"/>
  <c r="H18" i="3"/>
  <c r="F5" i="6"/>
  <c r="F6" i="6" s="1"/>
  <c r="F16" i="5"/>
  <c r="F15" i="5"/>
  <c r="F12" i="4"/>
  <c r="F7" i="5"/>
  <c r="F6" i="5"/>
  <c r="F18" i="5" s="1"/>
  <c r="F13" i="4"/>
  <c r="P5" i="6"/>
  <c r="P6" i="6" s="1"/>
  <c r="P12" i="4"/>
  <c r="P7" i="5"/>
  <c r="P6" i="5"/>
  <c r="P18" i="5" s="1"/>
  <c r="P13" i="4"/>
  <c r="P16" i="5"/>
  <c r="P15" i="5"/>
  <c r="AA7" i="7"/>
  <c r="AP7" i="7" s="1"/>
  <c r="AP28" i="5"/>
  <c r="C17" i="5"/>
  <c r="D8" i="5"/>
  <c r="C9" i="5"/>
  <c r="G20" i="3"/>
  <c r="G21" i="3" s="1"/>
  <c r="G18" i="3"/>
  <c r="AI8" i="7"/>
  <c r="AI11" i="6"/>
  <c r="O5" i="6"/>
  <c r="O16" i="5"/>
  <c r="O15" i="5"/>
  <c r="O13" i="4"/>
  <c r="O12" i="4"/>
  <c r="AO11" i="4"/>
  <c r="O7" i="5"/>
  <c r="O6" i="5"/>
  <c r="Y5" i="6"/>
  <c r="Y6" i="6" s="1"/>
  <c r="Y15" i="5"/>
  <c r="Y13" i="4"/>
  <c r="Y12" i="4"/>
  <c r="Y7" i="5"/>
  <c r="Y6" i="5"/>
  <c r="Y18" i="5" s="1"/>
  <c r="Y16" i="5"/>
  <c r="U13" i="5" l="1"/>
  <c r="E14" i="5"/>
  <c r="AC13" i="5"/>
  <c r="T13" i="5"/>
  <c r="U8" i="7"/>
  <c r="T8" i="6"/>
  <c r="AB14" i="5"/>
  <c r="T8" i="7"/>
  <c r="AC8" i="7"/>
  <c r="U7" i="6"/>
  <c r="U9" i="6" s="1"/>
  <c r="U10" i="6" s="1"/>
  <c r="G8" i="7"/>
  <c r="AF11" i="6"/>
  <c r="AE8" i="7"/>
  <c r="I13" i="5"/>
  <c r="H11" i="6"/>
  <c r="N14" i="5"/>
  <c r="AB11" i="6"/>
  <c r="AB7" i="6"/>
  <c r="AB9" i="6" s="1"/>
  <c r="AB10" i="6" s="1"/>
  <c r="AE14" i="5"/>
  <c r="N11" i="6"/>
  <c r="D13" i="5"/>
  <c r="AP12" i="4"/>
  <c r="E6" i="8" s="1"/>
  <c r="AF13" i="5"/>
  <c r="AA14" i="5"/>
  <c r="D8" i="7"/>
  <c r="AN16" i="5"/>
  <c r="C28" i="8"/>
  <c r="C16" i="9"/>
  <c r="AN12" i="4"/>
  <c r="C6" i="8" s="1"/>
  <c r="H13" i="5"/>
  <c r="I8" i="7"/>
  <c r="AP13" i="4"/>
  <c r="AN13" i="4"/>
  <c r="AP16" i="5"/>
  <c r="AN7" i="5"/>
  <c r="C10" i="8" s="1"/>
  <c r="AN15" i="5"/>
  <c r="D8" i="6"/>
  <c r="D10" i="6" s="1"/>
  <c r="AP15" i="5"/>
  <c r="AE10" i="6"/>
  <c r="AJ10" i="6"/>
  <c r="AP7" i="5"/>
  <c r="E10" i="8" s="1"/>
  <c r="R14" i="5"/>
  <c r="R13" i="5"/>
  <c r="Y8" i="7"/>
  <c r="Y11" i="6"/>
  <c r="C19" i="5"/>
  <c r="AK8" i="6"/>
  <c r="AK7" i="6"/>
  <c r="AK9" i="6" s="1"/>
  <c r="Y14" i="5"/>
  <c r="Y13" i="5"/>
  <c r="AO16" i="5"/>
  <c r="C30" i="9"/>
  <c r="C38" i="9" s="1"/>
  <c r="E17" i="8"/>
  <c r="Q13" i="5"/>
  <c r="Q14" i="5"/>
  <c r="C30" i="3"/>
  <c r="C41" i="3" s="1"/>
  <c r="C42" i="3" s="1"/>
  <c r="C20" i="3"/>
  <c r="C21" i="3" s="1"/>
  <c r="C18" i="3"/>
  <c r="AD14" i="5"/>
  <c r="AD13" i="5"/>
  <c r="R7" i="6"/>
  <c r="R9" i="6" s="1"/>
  <c r="R8" i="6"/>
  <c r="P14" i="5"/>
  <c r="P13" i="5"/>
  <c r="AO15" i="5"/>
  <c r="Z14" i="5"/>
  <c r="Z13" i="5"/>
  <c r="AL8" i="7"/>
  <c r="AL11" i="6"/>
  <c r="C24" i="3"/>
  <c r="C31" i="3"/>
  <c r="AP6" i="5"/>
  <c r="E9" i="8" s="1"/>
  <c r="O7" i="7"/>
  <c r="AO7" i="7" s="1"/>
  <c r="AO28" i="5"/>
  <c r="D17" i="8" s="1"/>
  <c r="O14" i="5"/>
  <c r="AO12" i="4"/>
  <c r="D6" i="8" s="1"/>
  <c r="O13" i="5"/>
  <c r="M8" i="7"/>
  <c r="M11" i="6"/>
  <c r="M14" i="5"/>
  <c r="M13" i="5"/>
  <c r="K8" i="6"/>
  <c r="K10" i="6" s="1"/>
  <c r="AD7" i="6"/>
  <c r="AD9" i="6" s="1"/>
  <c r="AD8" i="6"/>
  <c r="AA11" i="6"/>
  <c r="AA8" i="7"/>
  <c r="AP18" i="5"/>
  <c r="AO13" i="4"/>
  <c r="C11" i="6"/>
  <c r="C8" i="7"/>
  <c r="AN18" i="5"/>
  <c r="P8" i="6"/>
  <c r="P7" i="6"/>
  <c r="P9" i="6" s="1"/>
  <c r="O6" i="6"/>
  <c r="AO5" i="6"/>
  <c r="M8" i="6"/>
  <c r="M7" i="6"/>
  <c r="M9" i="6" s="1"/>
  <c r="F14" i="5"/>
  <c r="F13" i="5"/>
  <c r="S7" i="6"/>
  <c r="S9" i="6" s="1"/>
  <c r="S8" i="6"/>
  <c r="S13" i="5"/>
  <c r="S14" i="5"/>
  <c r="AF10" i="6"/>
  <c r="F11" i="6"/>
  <c r="F8" i="7"/>
  <c r="X10" i="6"/>
  <c r="J8" i="6"/>
  <c r="J10" i="6" s="1"/>
  <c r="AN6" i="5"/>
  <c r="C9" i="8" s="1"/>
  <c r="AD11" i="6"/>
  <c r="AD8" i="7"/>
  <c r="S11" i="6"/>
  <c r="S8" i="7"/>
  <c r="Y8" i="6"/>
  <c r="Y7" i="6"/>
  <c r="Y9" i="6" s="1"/>
  <c r="T10" i="6"/>
  <c r="Q7" i="6"/>
  <c r="Q9" i="6" s="1"/>
  <c r="Q8" i="6"/>
  <c r="O18" i="5"/>
  <c r="AO6" i="5"/>
  <c r="D9" i="8" s="1"/>
  <c r="AP5" i="6"/>
  <c r="H8" i="6"/>
  <c r="H10" i="6" s="1"/>
  <c r="AK8" i="7"/>
  <c r="AK11" i="6"/>
  <c r="I8" i="6"/>
  <c r="I10" i="6" s="1"/>
  <c r="G8" i="6"/>
  <c r="G10" i="6" s="1"/>
  <c r="AL14" i="5"/>
  <c r="AL13" i="5"/>
  <c r="AO7" i="5"/>
  <c r="D10" i="8" s="1"/>
  <c r="F7" i="6"/>
  <c r="F9" i="6" s="1"/>
  <c r="F8" i="6"/>
  <c r="AA8" i="6"/>
  <c r="AP6" i="6"/>
  <c r="AA7" i="6"/>
  <c r="Z8" i="7"/>
  <c r="Z11" i="6"/>
  <c r="AG10" i="6"/>
  <c r="N8" i="6"/>
  <c r="N10" i="6" s="1"/>
  <c r="AL8" i="6"/>
  <c r="AL7" i="6"/>
  <c r="AL9" i="6" s="1"/>
  <c r="D38" i="9"/>
  <c r="G35" i="9"/>
  <c r="C37" i="9"/>
  <c r="F34" i="9"/>
  <c r="R11" i="6"/>
  <c r="R8" i="7"/>
  <c r="AN5" i="6"/>
  <c r="Q11" i="6"/>
  <c r="Q8" i="7"/>
  <c r="D17" i="5"/>
  <c r="E8" i="5"/>
  <c r="D9" i="5"/>
  <c r="D5" i="8"/>
  <c r="F5" i="8" s="1"/>
  <c r="D16" i="9"/>
  <c r="C10" i="5"/>
  <c r="P11" i="6"/>
  <c r="P8" i="7"/>
  <c r="E8" i="6"/>
  <c r="E10" i="6" s="1"/>
  <c r="Z8" i="6"/>
  <c r="Z7" i="6"/>
  <c r="Z9" i="6" s="1"/>
  <c r="AC10" i="6"/>
  <c r="E28" i="8"/>
  <c r="C8" i="6"/>
  <c r="AN6" i="6"/>
  <c r="C7" i="6"/>
  <c r="AK14" i="5"/>
  <c r="AK13" i="5"/>
  <c r="G34" i="9" l="1"/>
  <c r="E38" i="9"/>
  <c r="D35" i="9"/>
  <c r="C34" i="9"/>
  <c r="C36" i="9"/>
  <c r="D37" i="9"/>
  <c r="C35" i="9"/>
  <c r="E37" i="9"/>
  <c r="F37" i="9"/>
  <c r="E36" i="9"/>
  <c r="D34" i="9"/>
  <c r="E35" i="9"/>
  <c r="G38" i="9"/>
  <c r="F35" i="9"/>
  <c r="F17" i="8"/>
  <c r="D36" i="9"/>
  <c r="F38" i="9"/>
  <c r="F36" i="9"/>
  <c r="G37" i="9"/>
  <c r="E34" i="9"/>
  <c r="G36" i="9"/>
  <c r="D28" i="8"/>
  <c r="F6" i="8"/>
  <c r="D19" i="5"/>
  <c r="D6" i="7" s="1"/>
  <c r="AP13" i="5"/>
  <c r="F10" i="8"/>
  <c r="AP14" i="5"/>
  <c r="AN14" i="5"/>
  <c r="Q10" i="6"/>
  <c r="S10" i="6"/>
  <c r="R10" i="6"/>
  <c r="AL10" i="6"/>
  <c r="AN8" i="7"/>
  <c r="AK10" i="6"/>
  <c r="C6" i="7"/>
  <c r="AN11" i="6"/>
  <c r="AN13" i="5"/>
  <c r="AP7" i="6"/>
  <c r="AA9" i="6"/>
  <c r="AP9" i="6" s="1"/>
  <c r="AP8" i="6"/>
  <c r="AO13" i="5"/>
  <c r="Z10" i="6"/>
  <c r="E17" i="5"/>
  <c r="F8" i="5"/>
  <c r="E9" i="5"/>
  <c r="F10" i="6"/>
  <c r="O11" i="6"/>
  <c r="AO11" i="6" s="1"/>
  <c r="AO18" i="5"/>
  <c r="O8" i="7"/>
  <c r="AO8" i="7" s="1"/>
  <c r="F9" i="8"/>
  <c r="M10" i="6"/>
  <c r="AP8" i="7"/>
  <c r="AO14" i="5"/>
  <c r="AP11" i="6"/>
  <c r="D10" i="5"/>
  <c r="AD10" i="6"/>
  <c r="O8" i="6"/>
  <c r="AO6" i="6"/>
  <c r="O7" i="6"/>
  <c r="C9" i="6"/>
  <c r="AN9" i="6" s="1"/>
  <c r="AN7" i="6"/>
  <c r="C5" i="7"/>
  <c r="C22" i="5"/>
  <c r="C21" i="5"/>
  <c r="C31" i="5"/>
  <c r="Y10" i="6"/>
  <c r="AN8" i="6"/>
  <c r="P10" i="6"/>
  <c r="AA10" i="6" l="1"/>
  <c r="D5" i="7"/>
  <c r="D12" i="7" s="1"/>
  <c r="D22" i="5"/>
  <c r="D31" i="5"/>
  <c r="D21" i="5"/>
  <c r="D30" i="5" s="1"/>
  <c r="D33" i="5" s="1"/>
  <c r="F9" i="5"/>
  <c r="F17" i="5"/>
  <c r="F19" i="5" s="1"/>
  <c r="F6" i="7" s="1"/>
  <c r="F10" i="5"/>
  <c r="G8" i="5"/>
  <c r="E10" i="5"/>
  <c r="C18" i="6"/>
  <c r="E19" i="5"/>
  <c r="AO8" i="6"/>
  <c r="C30" i="5"/>
  <c r="C12" i="7"/>
  <c r="AO7" i="6"/>
  <c r="O9" i="6"/>
  <c r="AO9" i="6" s="1"/>
  <c r="C10" i="6"/>
  <c r="AP10" i="6"/>
  <c r="E5" i="7" l="1"/>
  <c r="E22" i="5"/>
  <c r="E21" i="5"/>
  <c r="E31" i="5"/>
  <c r="F5" i="7"/>
  <c r="F12" i="7" s="1"/>
  <c r="F21" i="5"/>
  <c r="F30" i="5" s="1"/>
  <c r="F33" i="5" s="1"/>
  <c r="C19" i="6"/>
  <c r="C20" i="6" s="1"/>
  <c r="AN10" i="6"/>
  <c r="C14" i="6"/>
  <c r="G17" i="5"/>
  <c r="G19" i="5" s="1"/>
  <c r="G6" i="7" s="1"/>
  <c r="H8" i="5"/>
  <c r="G9" i="5"/>
  <c r="G10" i="5" s="1"/>
  <c r="C33" i="5"/>
  <c r="C15" i="7"/>
  <c r="D34" i="5"/>
  <c r="D35" i="5" s="1"/>
  <c r="O10" i="6"/>
  <c r="AO10" i="6" s="1"/>
  <c r="E6" i="7"/>
  <c r="F22" i="5" l="1"/>
  <c r="D14" i="7"/>
  <c r="D15" i="7" s="1"/>
  <c r="F34" i="5"/>
  <c r="F35" i="5" s="1"/>
  <c r="E30" i="5"/>
  <c r="C34" i="5"/>
  <c r="C35" i="5" s="1"/>
  <c r="G5" i="7"/>
  <c r="G12" i="7" s="1"/>
  <c r="G21" i="5"/>
  <c r="G30" i="5" s="1"/>
  <c r="G33" i="5" s="1"/>
  <c r="D13" i="6"/>
  <c r="D14" i="6" s="1"/>
  <c r="C15" i="6"/>
  <c r="C16" i="7"/>
  <c r="C17" i="7" s="1"/>
  <c r="F31" i="5"/>
  <c r="I8" i="5"/>
  <c r="H17" i="5"/>
  <c r="H19" i="5" s="1"/>
  <c r="H6" i="7" s="1"/>
  <c r="H9" i="5"/>
  <c r="H10" i="5" s="1"/>
  <c r="E12" i="7"/>
  <c r="G22" i="5" l="1"/>
  <c r="G31" i="5"/>
  <c r="H5" i="7"/>
  <c r="H21" i="5"/>
  <c r="H22" i="5" s="1"/>
  <c r="D15" i="6"/>
  <c r="D16" i="7"/>
  <c r="D17" i="7" s="1"/>
  <c r="E13" i="6"/>
  <c r="E14" i="6" s="1"/>
  <c r="E14" i="7"/>
  <c r="E15" i="7" s="1"/>
  <c r="E33" i="5"/>
  <c r="C24" i="7"/>
  <c r="G34" i="5"/>
  <c r="G35" i="5" s="1"/>
  <c r="I17" i="5"/>
  <c r="I19" i="5" s="1"/>
  <c r="I6" i="7" s="1"/>
  <c r="I9" i="5"/>
  <c r="J8" i="5"/>
  <c r="I10" i="5"/>
  <c r="I5" i="7" l="1"/>
  <c r="I12" i="7" s="1"/>
  <c r="I21" i="5"/>
  <c r="I30" i="5" s="1"/>
  <c r="I33" i="5" s="1"/>
  <c r="K8" i="5"/>
  <c r="J17" i="5"/>
  <c r="J19" i="5" s="1"/>
  <c r="J6" i="7" s="1"/>
  <c r="J9" i="5"/>
  <c r="J10" i="5" s="1"/>
  <c r="F14" i="7"/>
  <c r="F15" i="7" s="1"/>
  <c r="H30" i="5"/>
  <c r="E16" i="7"/>
  <c r="E17" i="7" s="1"/>
  <c r="F13" i="6"/>
  <c r="F14" i="6" s="1"/>
  <c r="E15" i="6"/>
  <c r="E34" i="5"/>
  <c r="E35" i="5" s="1"/>
  <c r="H12" i="7"/>
  <c r="J5" i="7" l="1"/>
  <c r="J21" i="5"/>
  <c r="J22" i="5" s="1"/>
  <c r="K9" i="5"/>
  <c r="K17" i="5"/>
  <c r="K19" i="5" s="1"/>
  <c r="K6" i="7" s="1"/>
  <c r="K10" i="5"/>
  <c r="L8" i="5"/>
  <c r="I22" i="5"/>
  <c r="G14" i="7"/>
  <c r="G15" i="7" s="1"/>
  <c r="I34" i="5"/>
  <c r="I35" i="5" s="1"/>
  <c r="I31" i="5"/>
  <c r="F15" i="6"/>
  <c r="F16" i="7"/>
  <c r="F17" i="7" s="1"/>
  <c r="G13" i="6"/>
  <c r="G14" i="6" s="1"/>
  <c r="H33" i="5"/>
  <c r="H31" i="5"/>
  <c r="H14" i="7" l="1"/>
  <c r="H15" i="7" s="1"/>
  <c r="H34" i="5"/>
  <c r="H35" i="5" s="1"/>
  <c r="K5" i="7"/>
  <c r="K12" i="7" s="1"/>
  <c r="K21" i="5"/>
  <c r="K30" i="5" s="1"/>
  <c r="K33" i="5" s="1"/>
  <c r="L17" i="5"/>
  <c r="L19" i="5" s="1"/>
  <c r="L6" i="7" s="1"/>
  <c r="L9" i="5"/>
  <c r="L10" i="5" s="1"/>
  <c r="M8" i="5"/>
  <c r="J30" i="5"/>
  <c r="J12" i="7"/>
  <c r="G16" i="7"/>
  <c r="G17" i="7" s="1"/>
  <c r="H13" i="6"/>
  <c r="H14" i="6" s="1"/>
  <c r="G15" i="6"/>
  <c r="K22" i="5" l="1"/>
  <c r="K34" i="5"/>
  <c r="K35" i="5" s="1"/>
  <c r="L5" i="7"/>
  <c r="L12" i="7" s="1"/>
  <c r="L21" i="5"/>
  <c r="L30" i="5" s="1"/>
  <c r="L33" i="5" s="1"/>
  <c r="H16" i="7"/>
  <c r="H17" i="7" s="1"/>
  <c r="I13" i="6"/>
  <c r="I14" i="6" s="1"/>
  <c r="H15" i="6"/>
  <c r="K31" i="5"/>
  <c r="J33" i="5"/>
  <c r="J31" i="5"/>
  <c r="M17" i="5"/>
  <c r="M19" i="5" s="1"/>
  <c r="M6" i="7" s="1"/>
  <c r="M9" i="5"/>
  <c r="M10" i="5" s="1"/>
  <c r="N8" i="5"/>
  <c r="I14" i="7"/>
  <c r="I15" i="7" s="1"/>
  <c r="L31" i="5" l="1"/>
  <c r="M5" i="7"/>
  <c r="M12" i="7" s="1"/>
  <c r="M21" i="5"/>
  <c r="M30" i="5" s="1"/>
  <c r="M33" i="5" s="1"/>
  <c r="N17" i="5"/>
  <c r="N9" i="5"/>
  <c r="AN9" i="5" s="1"/>
  <c r="C11" i="8" s="1"/>
  <c r="O8" i="5"/>
  <c r="L34" i="5"/>
  <c r="L35" i="5" s="1"/>
  <c r="L22" i="5"/>
  <c r="J34" i="5"/>
  <c r="J35" i="5" s="1"/>
  <c r="J14" i="7"/>
  <c r="J15" i="7" s="1"/>
  <c r="I16" i="7"/>
  <c r="I17" i="7" s="1"/>
  <c r="J13" i="6"/>
  <c r="J14" i="6" s="1"/>
  <c r="I15" i="6"/>
  <c r="N10" i="5" l="1"/>
  <c r="AN10" i="5" s="1"/>
  <c r="J16" i="7"/>
  <c r="J17" i="7" s="1"/>
  <c r="J15" i="6"/>
  <c r="K13" i="6"/>
  <c r="K14" i="6" s="1"/>
  <c r="N19" i="5"/>
  <c r="AN17" i="5"/>
  <c r="O17" i="5"/>
  <c r="O9" i="5"/>
  <c r="O10" i="5" s="1"/>
  <c r="P8" i="5"/>
  <c r="M31" i="5"/>
  <c r="K14" i="7"/>
  <c r="K15" i="7" s="1"/>
  <c r="M34" i="5"/>
  <c r="M35" i="5" s="1"/>
  <c r="M22" i="5"/>
  <c r="N5" i="7" l="1"/>
  <c r="O19" i="5"/>
  <c r="P17" i="5"/>
  <c r="P19" i="5" s="1"/>
  <c r="P6" i="7" s="1"/>
  <c r="P9" i="5"/>
  <c r="Q8" i="5"/>
  <c r="P10" i="5"/>
  <c r="N6" i="7"/>
  <c r="AN6" i="7" s="1"/>
  <c r="AN19" i="5"/>
  <c r="AN5" i="7"/>
  <c r="O5" i="7"/>
  <c r="L14" i="7"/>
  <c r="L15" i="7" s="1"/>
  <c r="C13" i="9"/>
  <c r="C12" i="8"/>
  <c r="K16" i="7"/>
  <c r="K17" i="7" s="1"/>
  <c r="L13" i="6"/>
  <c r="L14" i="6" s="1"/>
  <c r="K15" i="6"/>
  <c r="N21" i="5"/>
  <c r="C26" i="8" l="1"/>
  <c r="Q17" i="5"/>
  <c r="Q19" i="5" s="1"/>
  <c r="Q6" i="7" s="1"/>
  <c r="R8" i="5"/>
  <c r="Q9" i="5"/>
  <c r="Q10" i="5" s="1"/>
  <c r="P5" i="7"/>
  <c r="P12" i="7" s="1"/>
  <c r="P21" i="5"/>
  <c r="P30" i="5" s="1"/>
  <c r="P33" i="5" s="1"/>
  <c r="M14" i="7"/>
  <c r="M15" i="7" s="1"/>
  <c r="N30" i="5"/>
  <c r="AN21" i="5"/>
  <c r="N22" i="5"/>
  <c r="O6" i="7"/>
  <c r="O12" i="7" s="1"/>
  <c r="O21" i="5"/>
  <c r="L16" i="7"/>
  <c r="L17" i="7" s="1"/>
  <c r="M13" i="6"/>
  <c r="M14" i="6" s="1"/>
  <c r="L15" i="6"/>
  <c r="Q5" i="7" l="1"/>
  <c r="Q21" i="5"/>
  <c r="Q30" i="5" s="1"/>
  <c r="Q33" i="5" s="1"/>
  <c r="C15" i="8"/>
  <c r="AN22" i="5"/>
  <c r="N14" i="7"/>
  <c r="N33" i="5"/>
  <c r="AN30" i="5"/>
  <c r="N31" i="5"/>
  <c r="P34" i="5"/>
  <c r="P35" i="5" s="1"/>
  <c r="R9" i="5"/>
  <c r="R10" i="5" s="1"/>
  <c r="R17" i="5"/>
  <c r="S8" i="5"/>
  <c r="N13" i="6"/>
  <c r="N14" i="6" s="1"/>
  <c r="M15" i="6"/>
  <c r="M16" i="7"/>
  <c r="M17" i="7" s="1"/>
  <c r="P31" i="5"/>
  <c r="P22" i="5"/>
  <c r="O30" i="5"/>
  <c r="O22" i="5"/>
  <c r="Q31" i="5" l="1"/>
  <c r="O13" i="6"/>
  <c r="O14" i="6" s="1"/>
  <c r="N15" i="6"/>
  <c r="N16" i="7"/>
  <c r="R5" i="7"/>
  <c r="N34" i="5"/>
  <c r="N35" i="5" s="1"/>
  <c r="AN35" i="5" s="1"/>
  <c r="AN33" i="5"/>
  <c r="C21" i="8" s="1"/>
  <c r="C27" i="8"/>
  <c r="C29" i="8"/>
  <c r="C16" i="8"/>
  <c r="Q22" i="5"/>
  <c r="S17" i="5"/>
  <c r="S19" i="5" s="1"/>
  <c r="S6" i="7" s="1"/>
  <c r="T8" i="5"/>
  <c r="S9" i="5"/>
  <c r="S10" i="5" s="1"/>
  <c r="R19" i="5"/>
  <c r="Q34" i="5"/>
  <c r="Q35" i="5" s="1"/>
  <c r="O33" i="5"/>
  <c r="O31" i="5"/>
  <c r="Q12" i="7"/>
  <c r="C14" i="9"/>
  <c r="C18" i="8"/>
  <c r="AN31" i="5"/>
  <c r="C23" i="8" l="1"/>
  <c r="C15" i="9"/>
  <c r="S5" i="7"/>
  <c r="S12" i="7" s="1"/>
  <c r="S21" i="5"/>
  <c r="S30" i="5" s="1"/>
  <c r="S33" i="5" s="1"/>
  <c r="R6" i="7"/>
  <c r="R12" i="7" s="1"/>
  <c r="C19" i="8"/>
  <c r="R21" i="5"/>
  <c r="AN34" i="5"/>
  <c r="C22" i="8" s="1"/>
  <c r="N9" i="7"/>
  <c r="T17" i="5"/>
  <c r="U8" i="5"/>
  <c r="T9" i="5"/>
  <c r="T10" i="5" s="1"/>
  <c r="O34" i="5"/>
  <c r="O35" i="5" s="1"/>
  <c r="P13" i="6"/>
  <c r="P14" i="6" s="1"/>
  <c r="O15" i="6"/>
  <c r="O16" i="7"/>
  <c r="S31" i="5" l="1"/>
  <c r="S22" i="5"/>
  <c r="T5" i="7"/>
  <c r="T19" i="5"/>
  <c r="S34" i="5"/>
  <c r="S35" i="5" s="1"/>
  <c r="P15" i="6"/>
  <c r="P16" i="7"/>
  <c r="Q13" i="6"/>
  <c r="Q14" i="6" s="1"/>
  <c r="U17" i="5"/>
  <c r="U19" i="5" s="1"/>
  <c r="U6" i="7" s="1"/>
  <c r="V8" i="5"/>
  <c r="U9" i="5"/>
  <c r="U10" i="5" s="1"/>
  <c r="AN9" i="7"/>
  <c r="N12" i="7"/>
  <c r="R30" i="5"/>
  <c r="R22" i="5"/>
  <c r="U5" i="7" l="1"/>
  <c r="U12" i="7" s="1"/>
  <c r="U21" i="5"/>
  <c r="U30" i="5" s="1"/>
  <c r="U33" i="5" s="1"/>
  <c r="W8" i="5"/>
  <c r="V17" i="5"/>
  <c r="V9" i="5"/>
  <c r="V10" i="5" s="1"/>
  <c r="T6" i="7"/>
  <c r="AN12" i="7"/>
  <c r="C32" i="8" s="1"/>
  <c r="N15" i="7"/>
  <c r="Q16" i="7"/>
  <c r="R13" i="6"/>
  <c r="R14" i="6" s="1"/>
  <c r="Q15" i="6"/>
  <c r="T21" i="5"/>
  <c r="R33" i="5"/>
  <c r="R31" i="5"/>
  <c r="V5" i="7" l="1"/>
  <c r="V19" i="5"/>
  <c r="T12" i="7"/>
  <c r="C33" i="8"/>
  <c r="O14" i="7"/>
  <c r="O15" i="7" s="1"/>
  <c r="N17" i="7"/>
  <c r="C34" i="8" s="1"/>
  <c r="U34" i="5"/>
  <c r="U35" i="5" s="1"/>
  <c r="U31" i="5"/>
  <c r="R34" i="5"/>
  <c r="R35" i="5" s="1"/>
  <c r="T30" i="5"/>
  <c r="T22" i="5"/>
  <c r="W9" i="5"/>
  <c r="W10" i="5" s="1"/>
  <c r="W17" i="5"/>
  <c r="W19" i="5" s="1"/>
  <c r="W6" i="7" s="1"/>
  <c r="X8" i="5"/>
  <c r="U22" i="5"/>
  <c r="R15" i="6"/>
  <c r="R16" i="7"/>
  <c r="S13" i="6"/>
  <c r="S14" i="6" s="1"/>
  <c r="W5" i="7" l="1"/>
  <c r="W12" i="7" s="1"/>
  <c r="W21" i="5"/>
  <c r="W30" i="5" s="1"/>
  <c r="W33" i="5" s="1"/>
  <c r="V6" i="7"/>
  <c r="V12" i="7" s="1"/>
  <c r="P14" i="7"/>
  <c r="P15" i="7" s="1"/>
  <c r="O17" i="7"/>
  <c r="T33" i="5"/>
  <c r="T31" i="5"/>
  <c r="X17" i="5"/>
  <c r="X19" i="5" s="1"/>
  <c r="X6" i="7" s="1"/>
  <c r="X9" i="5"/>
  <c r="X10" i="5" s="1"/>
  <c r="Y8" i="5"/>
  <c r="V21" i="5"/>
  <c r="S16" i="7"/>
  <c r="T13" i="6"/>
  <c r="T14" i="6" s="1"/>
  <c r="S15" i="6"/>
  <c r="V30" i="5" l="1"/>
  <c r="V22" i="5"/>
  <c r="W22" i="5"/>
  <c r="Q14" i="7"/>
  <c r="Q15" i="7" s="1"/>
  <c r="P17" i="7"/>
  <c r="Y9" i="5"/>
  <c r="Y10" i="5" s="1"/>
  <c r="Z8" i="5"/>
  <c r="Y17" i="5"/>
  <c r="Y19" i="5" s="1"/>
  <c r="W31" i="5"/>
  <c r="T16" i="7"/>
  <c r="U13" i="6"/>
  <c r="U14" i="6" s="1"/>
  <c r="T15" i="6"/>
  <c r="T34" i="5"/>
  <c r="T35" i="5" s="1"/>
  <c r="W34" i="5"/>
  <c r="W35" i="5" s="1"/>
  <c r="X21" i="5"/>
  <c r="X30" i="5" s="1"/>
  <c r="X33" i="5" s="1"/>
  <c r="X5" i="7"/>
  <c r="X12" i="7" s="1"/>
  <c r="X31" i="5" l="1"/>
  <c r="X34" i="5"/>
  <c r="X35" i="5" s="1"/>
  <c r="Y6" i="7"/>
  <c r="X22" i="5"/>
  <c r="Z17" i="5"/>
  <c r="Z9" i="5"/>
  <c r="AO9" i="5" s="1"/>
  <c r="D11" i="8" s="1"/>
  <c r="AA8" i="5"/>
  <c r="Y5" i="7"/>
  <c r="Y21" i="5"/>
  <c r="Y30" i="5" s="1"/>
  <c r="Y33" i="5" s="1"/>
  <c r="Q17" i="7"/>
  <c r="R14" i="7"/>
  <c r="R15" i="7" s="1"/>
  <c r="U16" i="7"/>
  <c r="V13" i="6"/>
  <c r="V14" i="6" s="1"/>
  <c r="U15" i="6"/>
  <c r="V33" i="5"/>
  <c r="V31" i="5"/>
  <c r="Z10" i="5" l="1"/>
  <c r="Z5" i="7" s="1"/>
  <c r="Y12" i="7"/>
  <c r="Y22" i="5"/>
  <c r="Y31" i="5"/>
  <c r="AA17" i="5"/>
  <c r="AA9" i="5"/>
  <c r="AA10" i="5" s="1"/>
  <c r="AB8" i="5"/>
  <c r="V16" i="7"/>
  <c r="V15" i="6"/>
  <c r="W13" i="6"/>
  <c r="W14" i="6" s="1"/>
  <c r="Z19" i="5"/>
  <c r="Z21" i="5" s="1"/>
  <c r="AO17" i="5"/>
  <c r="S14" i="7"/>
  <c r="S15" i="7" s="1"/>
  <c r="R17" i="7"/>
  <c r="V34" i="5"/>
  <c r="V35" i="5" s="1"/>
  <c r="Y34" i="5"/>
  <c r="Y35" i="5" s="1"/>
  <c r="AO10" i="5" l="1"/>
  <c r="AO5" i="7"/>
  <c r="Z30" i="5"/>
  <c r="AO21" i="5"/>
  <c r="D15" i="8" s="1"/>
  <c r="AB17" i="5"/>
  <c r="AB19" i="5" s="1"/>
  <c r="AB6" i="7" s="1"/>
  <c r="AB9" i="5"/>
  <c r="AB10" i="5"/>
  <c r="AC8" i="5"/>
  <c r="AA5" i="7"/>
  <c r="W16" i="7"/>
  <c r="X13" i="6"/>
  <c r="X14" i="6" s="1"/>
  <c r="W15" i="6"/>
  <c r="D13" i="9"/>
  <c r="D12" i="8"/>
  <c r="Z22" i="5"/>
  <c r="T14" i="7"/>
  <c r="T15" i="7" s="1"/>
  <c r="S17" i="7"/>
  <c r="Z6" i="7"/>
  <c r="AO6" i="7" s="1"/>
  <c r="AO19" i="5"/>
  <c r="AA19" i="5"/>
  <c r="AA21" i="5" s="1"/>
  <c r="AA22" i="5" s="1"/>
  <c r="AO22" i="5" l="1"/>
  <c r="AB5" i="7"/>
  <c r="AB12" i="7" s="1"/>
  <c r="AB21" i="5"/>
  <c r="AB30" i="5" s="1"/>
  <c r="AB33" i="5" s="1"/>
  <c r="D16" i="8"/>
  <c r="D26" i="8"/>
  <c r="AA6" i="7"/>
  <c r="AC17" i="5"/>
  <c r="AD8" i="5"/>
  <c r="AC9" i="5"/>
  <c r="AC10" i="5" s="1"/>
  <c r="D29" i="8"/>
  <c r="D27" i="8"/>
  <c r="U14" i="7"/>
  <c r="U15" i="7" s="1"/>
  <c r="T17" i="7"/>
  <c r="AA30" i="5"/>
  <c r="X16" i="7"/>
  <c r="Y13" i="6"/>
  <c r="Y14" i="6" s="1"/>
  <c r="X15" i="6"/>
  <c r="Z33" i="5"/>
  <c r="AO30" i="5"/>
  <c r="Z31" i="5"/>
  <c r="AB31" i="5" l="1"/>
  <c r="AA12" i="7"/>
  <c r="AB22" i="5"/>
  <c r="Z13" i="6"/>
  <c r="Z14" i="6" s="1"/>
  <c r="Y15" i="6"/>
  <c r="Y16" i="7"/>
  <c r="V14" i="7"/>
  <c r="V15" i="7" s="1"/>
  <c r="U17" i="7"/>
  <c r="AB34" i="5"/>
  <c r="AB35" i="5" s="1"/>
  <c r="AC19" i="5"/>
  <c r="AC21" i="5" s="1"/>
  <c r="AA33" i="5"/>
  <c r="AA31" i="5"/>
  <c r="D14" i="9"/>
  <c r="D18" i="8"/>
  <c r="AO31" i="5"/>
  <c r="AC5" i="7"/>
  <c r="Z34" i="5"/>
  <c r="Z35" i="5" s="1"/>
  <c r="AO35" i="5" s="1"/>
  <c r="AO33" i="5"/>
  <c r="D21" i="8" s="1"/>
  <c r="AD9" i="5"/>
  <c r="AD10" i="5" s="1"/>
  <c r="AD17" i="5"/>
  <c r="AD19" i="5" s="1"/>
  <c r="AD6" i="7" s="1"/>
  <c r="AE8" i="5"/>
  <c r="AC30" i="5" l="1"/>
  <c r="AC22" i="5"/>
  <c r="W14" i="7"/>
  <c r="W15" i="7" s="1"/>
  <c r="V17" i="7"/>
  <c r="AD21" i="5"/>
  <c r="AD30" i="5" s="1"/>
  <c r="AD33" i="5" s="1"/>
  <c r="AD5" i="7"/>
  <c r="AD12" i="7" s="1"/>
  <c r="AC6" i="7"/>
  <c r="AC12" i="7" s="1"/>
  <c r="D23" i="8"/>
  <c r="D15" i="9"/>
  <c r="AE17" i="5"/>
  <c r="AE19" i="5" s="1"/>
  <c r="AE6" i="7" s="1"/>
  <c r="AE9" i="5"/>
  <c r="AE10" i="5" s="1"/>
  <c r="AF8" i="5"/>
  <c r="AA13" i="6"/>
  <c r="AA14" i="6" s="1"/>
  <c r="Z15" i="6"/>
  <c r="Z16" i="7"/>
  <c r="D19" i="8"/>
  <c r="AA34" i="5"/>
  <c r="AA35" i="5" s="1"/>
  <c r="AO34" i="5"/>
  <c r="D22" i="8" s="1"/>
  <c r="Z9" i="7"/>
  <c r="AD22" i="5" l="1"/>
  <c r="AD34" i="5"/>
  <c r="AD35" i="5" s="1"/>
  <c r="AB13" i="6"/>
  <c r="AB14" i="6" s="1"/>
  <c r="AA15" i="6"/>
  <c r="AA16" i="7"/>
  <c r="AD31" i="5"/>
  <c r="AG8" i="5"/>
  <c r="AF9" i="5"/>
  <c r="AF10" i="5" s="1"/>
  <c r="AF17" i="5"/>
  <c r="AE5" i="7"/>
  <c r="AE12" i="7" s="1"/>
  <c r="AE21" i="5"/>
  <c r="AE30" i="5" s="1"/>
  <c r="AE33" i="5" s="1"/>
  <c r="AO9" i="7"/>
  <c r="Z12" i="7"/>
  <c r="AO12" i="7" s="1"/>
  <c r="D32" i="8" s="1"/>
  <c r="X14" i="7"/>
  <c r="X15" i="7" s="1"/>
  <c r="W17" i="7"/>
  <c r="AC33" i="5"/>
  <c r="AC31" i="5"/>
  <c r="AE31" i="5" l="1"/>
  <c r="AE22" i="5"/>
  <c r="AE34" i="5"/>
  <c r="AE35" i="5" s="1"/>
  <c r="AF5" i="7"/>
  <c r="AB15" i="6"/>
  <c r="AB16" i="7"/>
  <c r="AC13" i="6"/>
  <c r="AC14" i="6" s="1"/>
  <c r="AC34" i="5"/>
  <c r="AC35" i="5" s="1"/>
  <c r="X17" i="7"/>
  <c r="Y14" i="7"/>
  <c r="Y15" i="7" s="1"/>
  <c r="AF19" i="5"/>
  <c r="AG17" i="5"/>
  <c r="AG19" i="5" s="1"/>
  <c r="AG6" i="7" s="1"/>
  <c r="AH8" i="5"/>
  <c r="AG9" i="5"/>
  <c r="AG10" i="5" s="1"/>
  <c r="AG5" i="7" l="1"/>
  <c r="AG12" i="7" s="1"/>
  <c r="AG21" i="5"/>
  <c r="AG30" i="5" s="1"/>
  <c r="AG33" i="5" s="1"/>
  <c r="AC16" i="7"/>
  <c r="AD13" i="6"/>
  <c r="AD14" i="6" s="1"/>
  <c r="AC15" i="6"/>
  <c r="AF6" i="7"/>
  <c r="Z14" i="7"/>
  <c r="Z15" i="7" s="1"/>
  <c r="Y17" i="7"/>
  <c r="AI8" i="5"/>
  <c r="AH17" i="5"/>
  <c r="AH19" i="5" s="1"/>
  <c r="AH6" i="7" s="1"/>
  <c r="AH9" i="5"/>
  <c r="AH10" i="5" s="1"/>
  <c r="AF21" i="5"/>
  <c r="AH5" i="7" l="1"/>
  <c r="AH21" i="5"/>
  <c r="AH30" i="5" s="1"/>
  <c r="AH33" i="5" s="1"/>
  <c r="AG22" i="5"/>
  <c r="AD15" i="6"/>
  <c r="AD16" i="7"/>
  <c r="AE13" i="6"/>
  <c r="AE14" i="6" s="1"/>
  <c r="D33" i="8"/>
  <c r="AA14" i="7"/>
  <c r="AA15" i="7" s="1"/>
  <c r="Z17" i="7"/>
  <c r="D34" i="8" s="1"/>
  <c r="AG31" i="5"/>
  <c r="AF12" i="7"/>
  <c r="AF30" i="5"/>
  <c r="AF22" i="5"/>
  <c r="AI9" i="5"/>
  <c r="AI17" i="5"/>
  <c r="AI19" i="5" s="1"/>
  <c r="AI6" i="7" s="1"/>
  <c r="AI10" i="5"/>
  <c r="AJ8" i="5"/>
  <c r="AG34" i="5"/>
  <c r="AG35" i="5" s="1"/>
  <c r="AH22" i="5" l="1"/>
  <c r="AJ17" i="5"/>
  <c r="AJ19" i="5" s="1"/>
  <c r="AJ6" i="7" s="1"/>
  <c r="AK8" i="5"/>
  <c r="AJ9" i="5"/>
  <c r="AJ10" i="5" s="1"/>
  <c r="AB14" i="7"/>
  <c r="AB15" i="7" s="1"/>
  <c r="AA17" i="7"/>
  <c r="AH31" i="5"/>
  <c r="AE16" i="7"/>
  <c r="AF13" i="6"/>
  <c r="AF14" i="6" s="1"/>
  <c r="AE15" i="6"/>
  <c r="AI5" i="7"/>
  <c r="AI12" i="7" s="1"/>
  <c r="AI21" i="5"/>
  <c r="AF33" i="5"/>
  <c r="AF31" i="5"/>
  <c r="AH34" i="5"/>
  <c r="AH35" i="5" s="1"/>
  <c r="AH12" i="7"/>
  <c r="AJ21" i="5" l="1"/>
  <c r="AJ30" i="5" s="1"/>
  <c r="AJ33" i="5" s="1"/>
  <c r="AJ5" i="7"/>
  <c r="AJ12" i="7" s="1"/>
  <c r="AF16" i="7"/>
  <c r="AG13" i="6"/>
  <c r="AG14" i="6" s="1"/>
  <c r="AF15" i="6"/>
  <c r="AC14" i="7"/>
  <c r="AC15" i="7" s="1"/>
  <c r="AB17" i="7"/>
  <c r="AF34" i="5"/>
  <c r="AL8" i="5"/>
  <c r="AK9" i="5"/>
  <c r="AK10" i="5" s="1"/>
  <c r="AK17" i="5"/>
  <c r="AK19" i="5" s="1"/>
  <c r="AK6" i="7" s="1"/>
  <c r="AI30" i="5"/>
  <c r="AI22" i="5"/>
  <c r="AI33" i="5" l="1"/>
  <c r="AI31" i="5"/>
  <c r="AJ34" i="5"/>
  <c r="AJ35" i="5" s="1"/>
  <c r="AF35" i="5"/>
  <c r="AC17" i="7"/>
  <c r="AD14" i="7"/>
  <c r="AD15" i="7" s="1"/>
  <c r="AG16" i="7"/>
  <c r="AH13" i="6"/>
  <c r="AH14" i="6" s="1"/>
  <c r="AG15" i="6"/>
  <c r="AK5" i="7"/>
  <c r="AK12" i="7" s="1"/>
  <c r="AK21" i="5"/>
  <c r="AK30" i="5" s="1"/>
  <c r="AK33" i="5" s="1"/>
  <c r="AJ31" i="5"/>
  <c r="AL17" i="5"/>
  <c r="AL9" i="5"/>
  <c r="AP9" i="5" s="1"/>
  <c r="E11" i="8" s="1"/>
  <c r="F11" i="8" s="1"/>
  <c r="AJ22" i="5"/>
  <c r="AL10" i="5" l="1"/>
  <c r="AK22" i="5"/>
  <c r="AL5" i="7"/>
  <c r="AP10" i="5"/>
  <c r="AH16" i="7"/>
  <c r="AH15" i="6"/>
  <c r="AI13" i="6"/>
  <c r="AI14" i="6" s="1"/>
  <c r="AE14" i="7"/>
  <c r="AE15" i="7" s="1"/>
  <c r="AD17" i="7"/>
  <c r="AL19" i="5"/>
  <c r="AL21" i="5" s="1"/>
  <c r="AP17" i="5"/>
  <c r="AK34" i="5"/>
  <c r="AK35" i="5" s="1"/>
  <c r="AK31" i="5"/>
  <c r="AI34" i="5"/>
  <c r="AI35" i="5" s="1"/>
  <c r="AL30" i="5" l="1"/>
  <c r="AP21" i="5"/>
  <c r="E15" i="8" s="1"/>
  <c r="AL22" i="5"/>
  <c r="E13" i="9"/>
  <c r="E12" i="8"/>
  <c r="AF14" i="7"/>
  <c r="AF15" i="7" s="1"/>
  <c r="AE17" i="7"/>
  <c r="AI16" i="7"/>
  <c r="AJ13" i="6"/>
  <c r="AJ14" i="6" s="1"/>
  <c r="AI15" i="6"/>
  <c r="AP5" i="7"/>
  <c r="AL6" i="7"/>
  <c r="AP6" i="7" s="1"/>
  <c r="AP19" i="5"/>
  <c r="AP22" i="5" l="1"/>
  <c r="AJ16" i="7"/>
  <c r="AK13" i="6"/>
  <c r="AK14" i="6" s="1"/>
  <c r="AJ15" i="6"/>
  <c r="AG14" i="7"/>
  <c r="AG15" i="7" s="1"/>
  <c r="AF17" i="7"/>
  <c r="E16" i="8"/>
  <c r="E26" i="8"/>
  <c r="F12" i="8"/>
  <c r="E27" i="8"/>
  <c r="E29" i="8"/>
  <c r="F15" i="8"/>
  <c r="AL33" i="5"/>
  <c r="C25" i="7"/>
  <c r="AL31" i="5"/>
  <c r="AP30" i="5"/>
  <c r="E14" i="9" l="1"/>
  <c r="E18" i="8"/>
  <c r="AP31" i="5"/>
  <c r="AH14" i="7"/>
  <c r="AH15" i="7" s="1"/>
  <c r="AG17" i="7"/>
  <c r="AL13" i="6"/>
  <c r="AL14" i="6" s="1"/>
  <c r="AK15" i="6"/>
  <c r="AK16" i="7"/>
  <c r="AL34" i="5"/>
  <c r="AP33" i="5"/>
  <c r="E21" i="8" s="1"/>
  <c r="F21" i="8" s="1"/>
  <c r="AP34" i="5" l="1"/>
  <c r="E22" i="8" s="1"/>
  <c r="F22" i="8" s="1"/>
  <c r="AL9" i="7"/>
  <c r="AL35" i="5"/>
  <c r="AP35" i="5" s="1"/>
  <c r="F18" i="8"/>
  <c r="E19" i="8"/>
  <c r="AL15" i="6"/>
  <c r="AL16" i="7"/>
  <c r="C21" i="6"/>
  <c r="C22" i="6" s="1"/>
  <c r="AI14" i="7"/>
  <c r="AI15" i="7" s="1"/>
  <c r="AH17" i="7"/>
  <c r="AJ14" i="7" l="1"/>
  <c r="AJ15" i="7" s="1"/>
  <c r="AI17" i="7"/>
  <c r="AP9" i="7"/>
  <c r="AL12" i="7"/>
  <c r="AP12" i="7" s="1"/>
  <c r="E32" i="8" s="1"/>
  <c r="F32" i="8" s="1"/>
  <c r="E23" i="8"/>
  <c r="F23" i="8" s="1"/>
  <c r="E15" i="9"/>
  <c r="AJ17" i="7" l="1"/>
  <c r="AK14" i="7"/>
  <c r="AK15" i="7" s="1"/>
  <c r="AL14" i="7" l="1"/>
  <c r="AL15" i="7" s="1"/>
  <c r="AK17" i="7"/>
  <c r="AL17" i="7" l="1"/>
  <c r="E34" i="8" s="1"/>
  <c r="E33" i="8"/>
  <c r="C21" i="7"/>
  <c r="C20" i="7"/>
  <c r="C22" i="7" s="1"/>
  <c r="C17" i="9"/>
  <c r="C23" i="7"/>
</calcChain>
</file>

<file path=xl/sharedStrings.xml><?xml version="1.0" encoding="utf-8"?>
<sst xmlns="http://schemas.openxmlformats.org/spreadsheetml/2006/main" count="424" uniqueCount="354">
  <si>
    <t>Финансов модел — интегратор на водни сондажи с гарантиран резултат</t>
  </si>
  <si>
    <t>Изготвен 7 септември 2026 г. Всички суми са в EUR, без ДДС, освен където изрично е посочено друго.</t>
  </si>
  <si>
    <t>КАК СЕ ПОЛЗВА</t>
  </si>
  <si>
    <t>Единственият лист за редактиране</t>
  </si>
  <si>
    <t>«Допускания». Всяко число там е вход на модела. Останалите листове са изцяло формули.</t>
  </si>
  <si>
    <t>Смяна на сценарий</t>
  </si>
  <si>
    <t>Допускания!C6 — въведи 1 (Консервативен), 2 (Базов) или 3 (Агресивен). Целият модел се преизчислява.</t>
  </si>
  <si>
    <t>След всяка промяна</t>
  </si>
  <si>
    <t>Ако отваряш в LibreOffice: Ctrl+Shift+F9 за пълно преизчисление.</t>
  </si>
  <si>
    <t>ЦВЕТОВИ КОД</t>
  </si>
  <si>
    <t>Син текст</t>
  </si>
  <si>
    <t>Твърдо въведено допускание — това са цифрите, които се сменят.</t>
  </si>
  <si>
    <t>Черен текст</t>
  </si>
  <si>
    <t>Формула в рамките на същия лист.</t>
  </si>
  <si>
    <t>Зелен текст</t>
  </si>
  <si>
    <t>Формула, която взима стойност от друг лист.</t>
  </si>
  <si>
    <t>Жълт фон</t>
  </si>
  <si>
    <t>Ключово допускание с висока чувствителност — провери го преди да вярваш на резултата.</t>
  </si>
  <si>
    <t>Оранжев фон</t>
  </si>
  <si>
    <t>Предупреждение или контролна проверка.</t>
  </si>
  <si>
    <t>ЛИСТОВЕ</t>
  </si>
  <si>
    <t>Допускания</t>
  </si>
  <si>
    <t>Всички входни параметри: сценарии, пакети, разходи, обеми, персонал, риск, капитал.</t>
  </si>
  <si>
    <t>Пакети</t>
  </si>
  <si>
    <t>Икономика на единица за всеки от трите пакета и за трите години. Показва къде се прави маржът.</t>
  </si>
  <si>
    <t>Обеми</t>
  </si>
  <si>
    <t>Месечни обеми за 36 месеца със сезонност и линеен метраж.</t>
  </si>
  <si>
    <t>ОПР</t>
  </si>
  <si>
    <t>Отчет за приходите и разходите, месечно за 36 месеца, с годишни суми.</t>
  </si>
  <si>
    <t>Паричен поток</t>
  </si>
  <si>
    <t>Месечен паричен поток, салдо и минимална точка. Тук се вижда колко капитал реално трябва.</t>
  </si>
  <si>
    <t>Гаранционен фонд</t>
  </si>
  <si>
    <t>Математиката на риска: очаквани неуспехи, разход по тях, покритие на фонда.</t>
  </si>
  <si>
    <t>Годишно резюме</t>
  </si>
  <si>
    <t>Трите години на един екран плюс основните показатели.</t>
  </si>
  <si>
    <t>Сценарии</t>
  </si>
  <si>
    <t>Трите сценария и таблица за чувствителност на EBITDA през година 3.</t>
  </si>
  <si>
    <t>ВАЖНИ ОГРАНИЧЕНИЯ</t>
  </si>
  <si>
    <t>Броят обекти е дробен</t>
  </si>
  <si>
    <t>Месечните обеми са дробни числа. Това е нормално за модел — не се закръглява, за да не се трупа грешка.</t>
  </si>
  <si>
    <t>Процентът неуспешни сондажи</t>
  </si>
  <si>
    <t>Няма публикувана статистика за България. Стойността в модела е допускане, не измерване. Това е най-чувствителният вход в целия файл — виж листа «Сценарии».</t>
  </si>
  <si>
    <t>ДДС</t>
  </si>
  <si>
    <t>Всички приходи са без ДДС. Физическото лице плаща цена + 20%. Виж реда «Цена с ДДС» в листа «Пакети» — това е числото, което клиентът сравнява с офертата на нерегистрирана бригада.</t>
  </si>
  <si>
    <t>Цените на подизпълнителя</t>
  </si>
  <si>
    <t>Изведени от публикувани пазарни цени (30–110 €/м за готов сондаж) минус договорена отстъпка при обем. Отстъпката е допускане до първия подписан рамков договор.</t>
  </si>
  <si>
    <t>Синьото се редактира. Жълтият фон маркира входовете с най-голямо влияние върху резултата.</t>
  </si>
  <si>
    <t>1. СЦЕНАРИЙ</t>
  </si>
  <si>
    <t>Избран сценарий (1 / 2 / 3)</t>
  </si>
  <si>
    <t>1=Консервативен, 2=Базов, 3=Агресивен</t>
  </si>
  <si>
    <t>Множител на обема</t>
  </si>
  <si>
    <t>Множител на цените</t>
  </si>
  <si>
    <t>Множител на цената на подизпълнителя</t>
  </si>
  <si>
    <t>2. ПАКЕТИ, ЦЕНИ И МИКС</t>
  </si>
  <si>
    <t>Пакет</t>
  </si>
  <si>
    <t>Дълбочина до (м)</t>
  </si>
  <si>
    <t>Списъчна цена г.1 (€)</t>
  </si>
  <si>
    <t>Средна реална дълбочина (м)</t>
  </si>
  <si>
    <t>Дял от обема</t>
  </si>
  <si>
    <t>A — до 30 м</t>
  </si>
  <si>
    <t>B — до 60 м</t>
  </si>
  <si>
    <t>C — до 100 м</t>
  </si>
  <si>
    <t>Контрола: сборът на дяловете</t>
  </si>
  <si>
    <t>Годишна индексация на продажните цени</t>
  </si>
  <si>
    <t>Ставка ДДС</t>
  </si>
  <si>
    <t>3. РАЗХОДИ С ПОДИЗПЪЛНИТЕЛИ И МАТЕРИАЛИ</t>
  </si>
  <si>
    <t>Показател</t>
  </si>
  <si>
    <t>Година 1</t>
  </si>
  <si>
    <t>Година 2</t>
  </si>
  <si>
    <t>Година 3</t>
  </si>
  <si>
    <t>Бележка</t>
  </si>
  <si>
    <t>Сондиране — договорена цена (€/линеен метър)</t>
  </si>
  <si>
    <t>Пазарна цена само за сондиране 50 €/м. Отстъпката е за обем, бързо плащане и подготвен обект.</t>
  </si>
  <si>
    <t>Обсадни тръби — доставка от нас (€/метър)</t>
  </si>
  <si>
    <t>PVC 125 мм, купени директно на едро без надценка на бригадата.</t>
  </si>
  <si>
    <t>Геофизично проучване на обект (външно, €)</t>
  </si>
  <si>
    <t>Възлага се на външен геофизик. При покупка на собствена апаратура пада до ~120 €.</t>
  </si>
  <si>
    <t>Коефициент на ефективност по фиксираните разходи</t>
  </si>
  <si>
    <t>Групови доставки, маршрутизация на обектите, по-малко празни курсове.</t>
  </si>
  <si>
    <t>Фиксирани преки разходи на обект, година 1 (без сондиране, обсадни и геофизика)</t>
  </si>
  <si>
    <t>Разходно перо</t>
  </si>
  <si>
    <t>Пакет A</t>
  </si>
  <si>
    <t>Пакет B</t>
  </si>
  <si>
    <t>Пакет C</t>
  </si>
  <si>
    <t>Филтърна секция</t>
  </si>
  <si>
    <t>Гравийна засипка</t>
  </si>
  <si>
    <t>Прочистване и водочерпене</t>
  </si>
  <si>
    <t>Тест на дебит</t>
  </si>
  <si>
    <t>Доказва изпълнението на гаранцията — не се спестява.</t>
  </si>
  <si>
    <t>Капак и уплътнение на устието</t>
  </si>
  <si>
    <t>Водопроводна шахта — материали</t>
  </si>
  <si>
    <t>Шахта, арматура, спирателен кран, връзки.</t>
  </si>
  <si>
    <t>Водопроводна шахта — монтаж</t>
  </si>
  <si>
    <t>Изкоп, монтаж, затваряне.</t>
  </si>
  <si>
    <t>Геодезическо заснемане</t>
  </si>
  <si>
    <t>Изисква се за регистрацията.</t>
  </si>
  <si>
    <t>Мобилизация на бригадата (дял)</t>
  </si>
  <si>
    <t>Пада при маршрутизиране на 3–4 обекта в район.</t>
  </si>
  <si>
    <t>Логистика на материали</t>
  </si>
  <si>
    <t>Общо фиксирани преки разходи (г.1)</t>
  </si>
  <si>
    <t>4. ДОПЪЛНИТЕЛНИ ПРОДАЖБИ</t>
  </si>
  <si>
    <t>Продукт</t>
  </si>
  <si>
    <t>Дял на обектите</t>
  </si>
  <si>
    <t>Цена (€)</t>
  </si>
  <si>
    <t>Разход (€)</t>
  </si>
  <si>
    <t>Помпа, хидрофор и автоматика</t>
  </si>
  <si>
    <t>Не е в базовия пакет — продава се при предаването.</t>
  </si>
  <si>
    <t>Узаконяване и разрешително (стопански клиенти)</t>
  </si>
  <si>
    <t>Само за клиенти над битовия лимит от 10 м³/ден.</t>
  </si>
  <si>
    <t>Химичен анализ на водата</t>
  </si>
  <si>
    <t>Акредитирана лаборатория.</t>
  </si>
  <si>
    <t>Абонамент за мониторинг и съответствие — дял на обектите</t>
  </si>
  <si>
    <t>Абонамент — месечна такса (€)</t>
  </si>
  <si>
    <t>Абонамент — месечен разход (€)</t>
  </si>
  <si>
    <t>Абонамент — месечен отпад (churn)</t>
  </si>
  <si>
    <t>5. РИСК И ГАРАНЦИЯ</t>
  </si>
  <si>
    <t>Вероятност първи сондаж да не постигне гарантирания дебит</t>
  </si>
  <si>
    <t>НЯМА публикувана статистика за България. Това е допускане. Провери го емпирично след първите 20 обекта.</t>
  </si>
  <si>
    <t>Вероятност и вторият опит да е неуспешен (условна)</t>
  </si>
  <si>
    <t>При втори опит вече имаш данни от първия, но имотът може просто да е лош.</t>
  </si>
  <si>
    <t>Дял на върнатата сума при двоен неуспех</t>
  </si>
  <si>
    <t>Задържаш 30% за реално вложен труд и материали. Трябва да е в договора дословно.</t>
  </si>
  <si>
    <t>Разход за втори опит (% от преките разходи на пакета)</t>
  </si>
  <si>
    <t>Ново сондиране, обсадни, геофизика и мобилизация. Шахтата и документацията не се правят втори път.</t>
  </si>
  <si>
    <t>Отчисление в гаранционния фонд (% от приход от пакети)</t>
  </si>
  <si>
    <t>Трябва да покрива очаквания разход по риска с поне 10% запас. Виж листа «Гаранционен фонд».</t>
  </si>
  <si>
    <t>Дял на отказаните запитвания като твърде рискови</t>
  </si>
  <si>
    <t>Дисциплината на подбора е това, което държи вероятността за неуспех ниска.</t>
  </si>
  <si>
    <t>6. ОБЕМИ</t>
  </si>
  <si>
    <t>Изпълнени обекти за годината</t>
  </si>
  <si>
    <t>Г.1 стартира от месец 4. Г.3 предполага втори технически ръководител.</t>
  </si>
  <si>
    <t>Първи месец с приход</t>
  </si>
  <si>
    <t>Месеци 1–3 са подготовка: договори с бригади, сайт, първи запитвания.</t>
  </si>
  <si>
    <t>Сезонен индекс по календарен месец (сборът да е 12)</t>
  </si>
  <si>
    <t>яну</t>
  </si>
  <si>
    <t>фев</t>
  </si>
  <si>
    <t>мар</t>
  </si>
  <si>
    <t>апр</t>
  </si>
  <si>
    <t>май</t>
  </si>
  <si>
    <t>юни</t>
  </si>
  <si>
    <t>юли</t>
  </si>
  <si>
    <t>авг</t>
  </si>
  <si>
    <t>сеп</t>
  </si>
  <si>
    <t>окт</t>
  </si>
  <si>
    <t>ное</t>
  </si>
  <si>
    <t>дек</t>
  </si>
  <si>
    <t>Контрола: сбор на индексите</t>
  </si>
  <si>
    <t>7. ОПЕРАТИВНИ РАЗХОДИ (месечно, €)</t>
  </si>
  <si>
    <t>Перо</t>
  </si>
  <si>
    <t>Възнаграждение на собственика (бруто)</t>
  </si>
  <si>
    <t>Стартира от първия месец с приход.</t>
  </si>
  <si>
    <t>Хидрогеолог (хонорар г.1, заплата от г.2)</t>
  </si>
  <si>
    <t>Тясното място в целия модел. Осигури го пръв.</t>
  </si>
  <si>
    <t>Проектен координатор</t>
  </si>
  <si>
    <t>Поема графици, доставки и комуникация с бригадите.</t>
  </si>
  <si>
    <t>Технически ръководител (втори)</t>
  </si>
  <si>
    <t>Необходим над ~7 обекта на месец.</t>
  </si>
  <si>
    <t>Общо брутни възнаграждения</t>
  </si>
  <si>
    <t>Осигуровки за сметка на работодателя</t>
  </si>
  <si>
    <t>Маркетинг и генериране на запитвания</t>
  </si>
  <si>
    <t>Основното перо. Това е бизнес за търсене, не за техника.</t>
  </si>
  <si>
    <t>Автомобил — лизинг, гориво, поддръжка</t>
  </si>
  <si>
    <t>Застраховка професионална отговорност</t>
  </si>
  <si>
    <t>Без нея гаранцията е необезпечено обещание.</t>
  </si>
  <si>
    <t>Счетоводство и правно обслужване</t>
  </si>
  <si>
    <t>Софтуер, ГИС, данни, лицензи</t>
  </si>
  <si>
    <t>Офис и склад</t>
  </si>
  <si>
    <t>Комуникации и други</t>
  </si>
  <si>
    <t>Общо други оперативни разходи</t>
  </si>
  <si>
    <t>8. КАПИТАЛ И ИНВЕСТИЦИИ</t>
  </si>
  <si>
    <t>Лаптоп, софтуер, ГИС, лицензи</t>
  </si>
  <si>
    <t>Уебсайт, бранд, фотография, съдържание</t>
  </si>
  <si>
    <t>Първоначална вноска по лизинг на автомобил</t>
  </si>
  <si>
    <t>Втори автомобил в г.3.</t>
  </si>
  <si>
    <t>Дребен инструментариум и теренно оборудване</t>
  </si>
  <si>
    <t>Юридическа подготовка: договори, ОУ, гаранция</t>
  </si>
  <si>
    <t>Договорът за гаранцията е основен актив — не го спестявай.</t>
  </si>
  <si>
    <t>Общо инвестиции</t>
  </si>
  <si>
    <t>Амортизационен срок (години)</t>
  </si>
  <si>
    <t>Внесен собствен капитал (€)</t>
  </si>
  <si>
    <t>Провери срещу минималното салдо в листа «Паричен поток».</t>
  </si>
  <si>
    <t>Първоначално захранване на гаранционния фонд (€)</t>
  </si>
  <si>
    <t>Буфер, докато отчисленията натрупат достатъчна маса.</t>
  </si>
  <si>
    <t>Данък върху печалбата</t>
  </si>
  <si>
    <t>9. ПЛАЩАНИЯ</t>
  </si>
  <si>
    <t>Дял от приходите, инкасиран в месеца на изпълнение</t>
  </si>
  <si>
    <t>40% авансово, 50% при завършено сондиране, 10% при предаване на документите.</t>
  </si>
  <si>
    <t>Дял, инкасиран следващия месец</t>
  </si>
  <si>
    <t>Дял от преките разходи, платен в месеца</t>
  </si>
  <si>
    <t>Бързото плащане е основният лост за отстъпка от бригадите.</t>
  </si>
  <si>
    <t>Икономика на единица по пакет и по година</t>
  </si>
  <si>
    <t>Всичко е формула. Виж последните редове: маржът расте с дълбочината — фиксираните разходи не се свиват на плитките обекти.</t>
  </si>
  <si>
    <t>Година</t>
  </si>
  <si>
    <t>A</t>
  </si>
  <si>
    <t>B</t>
  </si>
  <si>
    <t>C</t>
  </si>
  <si>
    <t>Продажна цена, без ДДС (€)</t>
  </si>
  <si>
    <t>Цена с ДДС — това вижда физическото лице (€)</t>
  </si>
  <si>
    <t>ПРЕКИ РАЗХОДИ</t>
  </si>
  <si>
    <t>Сондиране</t>
  </si>
  <si>
    <t>Обсадни тръби</t>
  </si>
  <si>
    <t>Геофизично проучване</t>
  </si>
  <si>
    <t>Останали фиксирани преки разходи</t>
  </si>
  <si>
    <t>Общо преки разходи</t>
  </si>
  <si>
    <t>Брутна печалба преди гаранция</t>
  </si>
  <si>
    <t>Брутен марж преди гаранция</t>
  </si>
  <si>
    <t>Отчисление в гаранционния фонд</t>
  </si>
  <si>
    <t>Брутна печалба след гаранция</t>
  </si>
  <si>
    <t>Марж след гаранция</t>
  </si>
  <si>
    <t>Очакван разход по риска на обект</t>
  </si>
  <si>
    <t>Покритие на фонда (отчисление / очакван разход)</t>
  </si>
  <si>
    <t>Под 100% означава, че фондът не покрива очаквания риск на този пакет.</t>
  </si>
  <si>
    <t>ПРЕТЕГЛЕНИ СТОЙНОСТИ ЗА ГОДИНАТА (вход за ОПР)</t>
  </si>
  <si>
    <t>Претеглена цена на обект</t>
  </si>
  <si>
    <t>Претеглени преки разходи на обект</t>
  </si>
  <si>
    <t>Претеглена брутна печалба на обект</t>
  </si>
  <si>
    <t>Претеглен очакван разход по риска</t>
  </si>
  <si>
    <t>Претеглена дълбочина на обект (м)</t>
  </si>
  <si>
    <t>Претеглен фиксиран разход на обект (без сондиране и обсадни)</t>
  </si>
  <si>
    <t>Приход от допълнителни продажби на обект</t>
  </si>
  <si>
    <t>Разход по допълнителни продажби на обект</t>
  </si>
  <si>
    <t>Марж от допълнителни продажби на обект</t>
  </si>
  <si>
    <t>ПРИНОС НА ЕДИН ОБЕКТ (след гаранционното отчисление)</t>
  </si>
  <si>
    <t>Общ приход на обект</t>
  </si>
  <si>
    <t>Принос на обект</t>
  </si>
  <si>
    <t>Принос като % от приход</t>
  </si>
  <si>
    <t>Месечни обеми, 36 месеца</t>
  </si>
  <si>
    <t>Годишният обем се разпределя по сезонния индекс само върху активните месеци.</t>
  </si>
  <si>
    <t>Месец №</t>
  </si>
  <si>
    <t>Год. 1</t>
  </si>
  <si>
    <t>Год. 2</t>
  </si>
  <si>
    <t>Год. 3</t>
  </si>
  <si>
    <t>Календарен месец</t>
  </si>
  <si>
    <t>Сезонен индекс</t>
  </si>
  <si>
    <t>Активен месец (1/0)</t>
  </si>
  <si>
    <t>Сбор на активните индекси за годината</t>
  </si>
  <si>
    <t>Годишен обем (с множител на сценария)</t>
  </si>
  <si>
    <t>ОБЕКТИ ПРЕЗ МЕСЕЦА</t>
  </si>
  <si>
    <t>Линейни метри сондиране</t>
  </si>
  <si>
    <t>Запитвания, необходими при отказ на рискови обекти</t>
  </si>
  <si>
    <t>Отчет за приходите и разходите, месечно</t>
  </si>
  <si>
    <t>Всички суми в EUR без ДДС. Колони AN–AP съдържат годишните суми.</t>
  </si>
  <si>
    <t>ПРИХОДИ</t>
  </si>
  <si>
    <t>Приход от пакети</t>
  </si>
  <si>
    <t>Приход от допълнителни продажби</t>
  </si>
  <si>
    <t>Активни абонати за мониторинг (брой)</t>
  </si>
  <si>
    <t>Приход от абонаменти</t>
  </si>
  <si>
    <t>ОБЩО ПРИХОДИ</t>
  </si>
  <si>
    <t>Сондиране (подизпълнител)</t>
  </si>
  <si>
    <t>Фиксирани преки разходи и геофизика</t>
  </si>
  <si>
    <t>Разходи по допълнителни продажби</t>
  </si>
  <si>
    <t>Разходи по абонаментите</t>
  </si>
  <si>
    <t>ОБЩО ПРЕКИ РАЗХОДИ</t>
  </si>
  <si>
    <t>БРУТНА ПЕЧАЛБА</t>
  </si>
  <si>
    <t>Брутен марж</t>
  </si>
  <si>
    <t>ОПЕРАТИВНИ РАЗХОДИ</t>
  </si>
  <si>
    <t>Възнаграждения (бруто)</t>
  </si>
  <si>
    <t>Други оперативни разходи</t>
  </si>
  <si>
    <t>ОБЩО ОПЕРАТИВНИ РАЗХОДИ</t>
  </si>
  <si>
    <t>EBITDA</t>
  </si>
  <si>
    <t>EBITDA марж</t>
  </si>
  <si>
    <t>Амортизация</t>
  </si>
  <si>
    <t>ПЕЧАЛБА ПРЕДИ ДАНЪЦИ</t>
  </si>
  <si>
    <t>Корпоративен данък</t>
  </si>
  <si>
    <t>ЧИСТА ПЕЧАЛБА</t>
  </si>
  <si>
    <t>Гаранционен фонд — математика на риска</t>
  </si>
  <si>
    <t>Фондът е самозастраховане. Ако салдото стане отрицателно, гаранцията не е обезпечена и моделът се чупи.</t>
  </si>
  <si>
    <t>Изпълнени обекти</t>
  </si>
  <si>
    <t>Очаквани първи неуспехи</t>
  </si>
  <si>
    <t>Очаквани двойни неуспехи</t>
  </si>
  <si>
    <t>Разход за втори опит</t>
  </si>
  <si>
    <t>Върнати суми при двоен неуспех</t>
  </si>
  <si>
    <t>ОБЩ ОЧАКВАН РАЗХОД ПО РИСКА</t>
  </si>
  <si>
    <t>Отчисления във фонда</t>
  </si>
  <si>
    <t>Салдо на фонда — начало</t>
  </si>
  <si>
    <t>Салдо на фонда — край</t>
  </si>
  <si>
    <t>Контрола: фондът покрит ли е?</t>
  </si>
  <si>
    <t>ОБОБЩЕНИЕ ЗА ТРИТЕ ГОДИНИ</t>
  </si>
  <si>
    <t>Общо отчисления</t>
  </si>
  <si>
    <t>Общ очакван разход по риска</t>
  </si>
  <si>
    <t>Покритие (отчисления / разход)</t>
  </si>
  <si>
    <t>Минимално салдо на фонда през 36 месеца</t>
  </si>
  <si>
    <t>Колко двойни неуспеха издържа фондът в най-слабия си момент</t>
  </si>
  <si>
    <t>Под 3 е опасно: при малък обем в началото няколко последователни неуспеха изчерпват фонда, преди отчисленията да са го напълнили.</t>
  </si>
  <si>
    <t>Паричен поток, месечно</t>
  </si>
  <si>
    <t>Минималното салдо определя колко капитал реално е нужен. Гаранционният фонд се държи отделно от оперативната каса.</t>
  </si>
  <si>
    <t>Инкасирани приходи</t>
  </si>
  <si>
    <t>Платени преки разходи (без отчисленията)</t>
  </si>
  <si>
    <t>Платени оперативни разходи</t>
  </si>
  <si>
    <t>Прехвърляне в гаранционния фонд</t>
  </si>
  <si>
    <t>Платен данък</t>
  </si>
  <si>
    <t>Инвестиции</t>
  </si>
  <si>
    <t>Внесен собствен капитал</t>
  </si>
  <si>
    <t>НЕТЕН ПАРИЧЕН ПОТОК</t>
  </si>
  <si>
    <t>Каса — начало</t>
  </si>
  <si>
    <t>КАСА — КРАЙ</t>
  </si>
  <si>
    <t>Гаранционен фонд (отделна сметка)</t>
  </si>
  <si>
    <t>ОБЩО ЛИКВИДНОСТ</t>
  </si>
  <si>
    <t>КОНТРОЛНИ ПОКАЗАТЕЛИ</t>
  </si>
  <si>
    <t>Минимална оперативна каса за 36 месеца</t>
  </si>
  <si>
    <t>Месец на минимума</t>
  </si>
  <si>
    <t>Достатъчен ли е капиталът?</t>
  </si>
  <si>
    <t>Препоръчителен собствен капитал (с 20% буфер)</t>
  </si>
  <si>
    <t>Първи месец с положителна EBITDA</t>
  </si>
  <si>
    <t>Кумулативна EBITDA за 36 месеца</t>
  </si>
  <si>
    <t>Три години на един екран</t>
  </si>
  <si>
    <t>Всички числа идват от останалите листове.</t>
  </si>
  <si>
    <t>Общо</t>
  </si>
  <si>
    <t>Това е числото, което носиш на бригадата при преговори.</t>
  </si>
  <si>
    <t>Единственият повтарящ се приход в модела.</t>
  </si>
  <si>
    <t>РЕНТАБИЛНОСТ</t>
  </si>
  <si>
    <t>Брутна печалба</t>
  </si>
  <si>
    <t>Оперативни разходи</t>
  </si>
  <si>
    <t>Печалба преди данъци</t>
  </si>
  <si>
    <t>Данък</t>
  </si>
  <si>
    <t>ПОКАЗАТЕЛИ НА ЕДИНИЦА</t>
  </si>
  <si>
    <t>Приход на обект</t>
  </si>
  <si>
    <t>Брутна печалба на обект</t>
  </si>
  <si>
    <t>Оперативни разходи на обект</t>
  </si>
  <si>
    <t>Праг на рентабилност (обекти на година)</t>
  </si>
  <si>
    <t>Колко обекта трябват само за да се покрият оперативните разходи.</t>
  </si>
  <si>
    <t>ПАРИ</t>
  </si>
  <si>
    <t>Нетен паричен поток</t>
  </si>
  <si>
    <t>Каса в края на годината</t>
  </si>
  <si>
    <t>Обща ликвидност в края на годината</t>
  </si>
  <si>
    <t>Сценарии и чувствителност</t>
  </si>
  <si>
    <t>Смени сценария от Допускания!C6. Таблицата за чувствителност по-долу е самостоятелен опростен разчет.</t>
  </si>
  <si>
    <t>Лост</t>
  </si>
  <si>
    <t>1 — Консервативен</t>
  </si>
  <si>
    <t>2 — Базов</t>
  </si>
  <si>
    <t>3 — Агресивен</t>
  </si>
  <si>
    <t>Коментар</t>
  </si>
  <si>
    <t>Колко обекта успяваш да продадеш спрямо плана.</t>
  </si>
  <si>
    <t>Ценови натиск от сивия сектор срещу успешно позициониране на гаранцията.</t>
  </si>
  <si>
    <t>Не успяваш да договориш отстъпка срещу рамков договор с реален обем.</t>
  </si>
  <si>
    <t>Активен сценарий сега</t>
  </si>
  <si>
    <t>РЕЗУЛТАТ ПРИ АКТИВНИЯ СЦЕНАРИЙ</t>
  </si>
  <si>
    <t>Приходи</t>
  </si>
  <si>
    <t>Чиста печалба</t>
  </si>
  <si>
    <t>Обекти</t>
  </si>
  <si>
    <t>Минимална оперативна каса</t>
  </si>
  <si>
    <t>ВНИМАНИЕ — ПРОЧЕТИ ПРЕДИ ДА ВЯРВАШ НА СЦЕНАРИЙ 1</t>
  </si>
  <si>
    <t>В консервативния сценарий моделът наема проектен координатор през г.2 и технически ръководител през г.3 точно както в базовия — при 35% по-малък обем. Затова резултатът е тежка загуба и отрицателна каса.</t>
  </si>
  <si>
    <t>Това не е грешка в модела, а грешка в плана, ако го изпълняваш сляпо. Наемането трябва да е обвързано с обем, а не с календар: координатор чак когато последните 3 месеца дават над 4 обекта средно на месец, втори човек — над 7 обекта на месец.</t>
  </si>
  <si>
    <t>При такава дисциплина консервативният сценарий е близо до нулата, а не катастрофа. Провери го, като намалиш ръчно оперативните разходи за г.2 и г.3 в листа «Допускания».</t>
  </si>
  <si>
    <t>ЧУВСТВИТЕЛНОСТ: EBITDA ГОДИНА 3 (€)</t>
  </si>
  <si>
    <t>Редове: обекти през година 3.  Колони: вероятност първи сондаж да е неуспешен.</t>
  </si>
  <si>
    <t>Разчетът е опростен: приход и разход на обект за г.3, минус оперативните разходи за г.3, минус реалния разход по риска (не отчислението).</t>
  </si>
  <si>
    <t>Приход на обект, г.3 (от Пакети)</t>
  </si>
  <si>
    <t>Преки разходи на обект, г.3 (без гаранцията)</t>
  </si>
  <si>
    <t>Оперативни разходи за г.3</t>
  </si>
  <si>
    <t>Цена на пакет за изчисляване на връщането</t>
  </si>
  <si>
    <t>Обекти г.3 \ Вероятност неуспех</t>
  </si>
  <si>
    <t>Прочит: при 108 обекта и 10% неуспех бизнесът е ясно печеливш; при 60 обекта и 25% неуспех — не е. Обемът и подборът на обектите са двата лоста, които решават всичко.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</si>
</sst>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#,##0.0;\(#,##0.0\);\-"/>
    <numFmt numFmtId="166" formatCode="0.0%;\(0.0%\);\-"/>
    <numFmt numFmtId="167" formatCode="#,##0.00;\(#,##0.00\);\-"/>
  </numFmts>
  <fonts count="9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1"/>
      <color rgb="FF1F386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b/>
      <sz val="10"/>
      <color rgb="FFFFFF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D9E2F3"/>
      </patternFill>
    </fill>
    <fill>
      <patternFill patternType="solid">
        <fgColor rgb="FFFCE4D6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5" fillId="0" borderId="0" xfId="0" applyFont="1" applyAlignment="1">
      <alignment vertical="top" wrapText="1"/>
    </xf>
    <xf numFmtId="164" fontId="6" fillId="3" borderId="0" xfId="0" applyNumberFormat="1" applyFont="1" applyFill="1"/>
    <xf numFmtId="0" fontId="5" fillId="0" borderId="0" xfId="0" applyFont="1"/>
    <xf numFmtId="165" fontId="7" fillId="0" borderId="0" xfId="0" applyNumberFormat="1" applyFont="1"/>
    <xf numFmtId="0" fontId="8" fillId="4" borderId="0" xfId="0" applyFont="1" applyFill="1" applyAlignment="1">
      <alignment horizontal="center"/>
    </xf>
    <xf numFmtId="164" fontId="6" fillId="0" borderId="0" xfId="0" applyNumberFormat="1" applyFont="1"/>
    <xf numFmtId="165" fontId="6" fillId="3" borderId="0" xfId="0" applyNumberFormat="1" applyFont="1" applyFill="1"/>
    <xf numFmtId="166" fontId="6" fillId="3" borderId="0" xfId="0" applyNumberFormat="1" applyFont="1" applyFill="1"/>
    <xf numFmtId="166" fontId="5" fillId="0" borderId="0" xfId="0" applyNumberFormat="1" applyFont="1"/>
    <xf numFmtId="166" fontId="6" fillId="0" borderId="0" xfId="0" applyNumberFormat="1" applyFont="1"/>
    <xf numFmtId="167" fontId="6" fillId="0" borderId="0" xfId="0" applyNumberFormat="1" applyFont="1"/>
    <xf numFmtId="0" fontId="4" fillId="5" borderId="0" xfId="0" applyFont="1" applyFill="1"/>
    <xf numFmtId="164" fontId="4" fillId="5" borderId="0" xfId="0" applyNumberFormat="1" applyFont="1" applyFill="1"/>
    <xf numFmtId="0" fontId="4" fillId="0" borderId="0" xfId="0" applyFont="1" applyAlignment="1">
      <alignment horizontal="center"/>
    </xf>
    <xf numFmtId="165" fontId="6" fillId="0" borderId="0" xfId="0" applyNumberFormat="1" applyFont="1"/>
    <xf numFmtId="165" fontId="5" fillId="0" borderId="0" xfId="0" applyNumberFormat="1" applyFont="1"/>
    <xf numFmtId="0" fontId="4" fillId="2" borderId="0" xfId="0" applyFont="1" applyFill="1" applyAlignment="1">
      <alignment horizontal="center"/>
    </xf>
    <xf numFmtId="164" fontId="7" fillId="0" borderId="0" xfId="0" applyNumberFormat="1" applyFont="1"/>
    <xf numFmtId="164" fontId="5" fillId="0" borderId="0" xfId="0" applyNumberFormat="1" applyFont="1"/>
    <xf numFmtId="0" fontId="3" fillId="0" borderId="0" xfId="0" applyFont="1"/>
    <xf numFmtId="164" fontId="4" fillId="0" borderId="0" xfId="0" applyNumberFormat="1" applyFont="1"/>
    <xf numFmtId="166" fontId="4" fillId="5" borderId="0" xfId="0" applyNumberFormat="1" applyFont="1" applyFill="1"/>
    <xf numFmtId="166" fontId="4" fillId="0" borderId="0" xfId="0" applyNumberFormat="1" applyFont="1"/>
    <xf numFmtId="165" fontId="4" fillId="0" borderId="0" xfId="0" applyNumberFormat="1" applyFont="1"/>
    <xf numFmtId="164" fontId="4" fillId="2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165" fontId="4" fillId="5" borderId="0" xfId="0" applyNumberFormat="1" applyFont="1" applyFill="1"/>
    <xf numFmtId="0" fontId="5" fillId="6" borderId="0" xfId="0" applyFont="1" applyFill="1"/>
    <xf numFmtId="164" fontId="5" fillId="6" borderId="0" xfId="0" applyNumberFormat="1" applyFont="1" applyFill="1"/>
    <xf numFmtId="0" fontId="4" fillId="6" borderId="0" xfId="0" applyFont="1" applyFill="1"/>
    <xf numFmtId="164" fontId="4" fillId="6" borderId="0" xfId="0" applyNumberFormat="1" applyFont="1" applyFill="1"/>
    <xf numFmtId="0" fontId="5" fillId="5" borderId="0" xfId="0" applyFont="1" applyFill="1"/>
    <xf numFmtId="164" fontId="5" fillId="5" borderId="0" xfId="0" applyNumberFormat="1" applyFont="1" applyFill="1"/>
    <xf numFmtId="0" fontId="5" fillId="0" borderId="0" xfId="0" applyFont="1" applyAlignment="1">
      <alignment horizontal="center"/>
    </xf>
    <xf numFmtId="165" fontId="4" fillId="6" borderId="0" xfId="0" applyNumberFormat="1" applyFont="1" applyFill="1"/>
    <xf numFmtId="164" fontId="4" fillId="3" borderId="0" xfId="0" applyNumberFormat="1" applyFont="1" applyFill="1"/>
    <xf numFmtId="0" fontId="4" fillId="3" borderId="0" xfId="0" applyFont="1" applyFill="1"/>
    <xf numFmtId="165" fontId="4" fillId="3" borderId="0" xfId="0" applyNumberFormat="1" applyFont="1" applyFill="1"/>
    <xf numFmtId="164" fontId="7" fillId="6" borderId="0" xfId="0" applyNumberFormat="1" applyFont="1" applyFill="1"/>
    <xf numFmtId="0" fontId="3" fillId="6" borderId="0" xfId="0" applyFont="1" applyFill="1"/>
    <xf numFmtId="0" fontId="0" fillId="6" borderId="0" xfId="0" applyFill="1"/>
    <xf numFmtId="0" fontId="8" fillId="4" borderId="0" xfId="0" applyFont="1" applyFill="1"/>
    <xf numFmtId="166" fontId="8" fillId="4" borderId="0" xfId="0" applyNumberFormat="1" applyFont="1" applyFill="1" applyAlignment="1">
      <alignment horizontal="center"/>
    </xf>
    <xf numFmtId="164" fontId="6" fillId="2" borderId="0" xfId="0" applyNumberFormat="1" applyFon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31"/>
  <sheetViews>
    <sheetView topLeftCell="A12" zoomScaleNormal="100" workbookViewId="0">
      <selection activeCell="C19" sqref="C19"/>
    </sheetView>
  </sheetViews>
  <sheetFormatPr defaultColWidth="8.7109375" defaultRowHeight="15" x14ac:dyDescent="0.25"/>
  <cols>
    <col min="1" max="1" width="2" customWidth="1"/>
    <col min="2" max="2" width="30" customWidth="1"/>
    <col min="3" max="3" width="95" customWidth="1"/>
  </cols>
  <sheetData>
    <row r="1" spans="2:3" ht="18" x14ac:dyDescent="0.25">
      <c r="B1" s="2" t="s">
        <v>0</v>
      </c>
    </row>
    <row r="2" spans="2:3" x14ac:dyDescent="0.25">
      <c r="B2" s="3" t="s">
        <v>1</v>
      </c>
    </row>
    <row r="5" spans="2:3" x14ac:dyDescent="0.25">
      <c r="B5" s="4" t="s">
        <v>2</v>
      </c>
      <c r="C5" s="5"/>
    </row>
    <row r="6" spans="2:3" ht="25.5" customHeight="1" x14ac:dyDescent="0.25">
      <c r="B6" s="6" t="s">
        <v>3</v>
      </c>
      <c r="C6" s="7" t="s">
        <v>4</v>
      </c>
    </row>
    <row r="7" spans="2:3" ht="25.5" customHeight="1" x14ac:dyDescent="0.25">
      <c r="B7" s="6" t="s">
        <v>5</v>
      </c>
      <c r="C7" s="7" t="s">
        <v>6</v>
      </c>
    </row>
    <row r="8" spans="2:3" ht="25.5" customHeight="1" x14ac:dyDescent="0.25">
      <c r="B8" s="6" t="s">
        <v>7</v>
      </c>
      <c r="C8" s="7" t="s">
        <v>8</v>
      </c>
    </row>
    <row r="10" spans="2:3" x14ac:dyDescent="0.25">
      <c r="B10" s="4" t="s">
        <v>9</v>
      </c>
      <c r="C10" s="5"/>
    </row>
    <row r="11" spans="2:3" ht="25.5" customHeight="1" x14ac:dyDescent="0.25">
      <c r="B11" s="6" t="s">
        <v>10</v>
      </c>
      <c r="C11" s="7" t="s">
        <v>11</v>
      </c>
    </row>
    <row r="12" spans="2:3" ht="25.5" customHeight="1" x14ac:dyDescent="0.25">
      <c r="B12" s="6" t="s">
        <v>12</v>
      </c>
      <c r="C12" s="7" t="s">
        <v>13</v>
      </c>
    </row>
    <row r="13" spans="2:3" ht="25.5" customHeight="1" x14ac:dyDescent="0.25">
      <c r="B13" s="6" t="s">
        <v>14</v>
      </c>
      <c r="C13" s="7" t="s">
        <v>15</v>
      </c>
    </row>
    <row r="14" spans="2:3" ht="25.5" customHeight="1" x14ac:dyDescent="0.25">
      <c r="B14" s="6" t="s">
        <v>16</v>
      </c>
      <c r="C14" s="7" t="s">
        <v>17</v>
      </c>
    </row>
    <row r="15" spans="2:3" ht="25.5" customHeight="1" x14ac:dyDescent="0.25">
      <c r="B15" s="6" t="s">
        <v>18</v>
      </c>
      <c r="C15" s="7" t="s">
        <v>19</v>
      </c>
    </row>
    <row r="17" spans="2:3" x14ac:dyDescent="0.25">
      <c r="B17" s="4" t="s">
        <v>20</v>
      </c>
      <c r="C17" s="5"/>
    </row>
    <row r="18" spans="2:3" ht="25.5" customHeight="1" x14ac:dyDescent="0.25">
      <c r="B18" s="6" t="s">
        <v>21</v>
      </c>
      <c r="C18" s="7" t="s">
        <v>22</v>
      </c>
    </row>
    <row r="19" spans="2:3" ht="25.5" customHeight="1" x14ac:dyDescent="0.25">
      <c r="B19" s="6" t="s">
        <v>23</v>
      </c>
      <c r="C19" s="7" t="s">
        <v>24</v>
      </c>
    </row>
    <row r="20" spans="2:3" ht="25.5" customHeight="1" x14ac:dyDescent="0.25">
      <c r="B20" s="6" t="s">
        <v>25</v>
      </c>
      <c r="C20" s="7" t="s">
        <v>26</v>
      </c>
    </row>
    <row r="21" spans="2:3" ht="25.5" customHeight="1" x14ac:dyDescent="0.25">
      <c r="B21" s="6" t="s">
        <v>27</v>
      </c>
      <c r="C21" s="7" t="s">
        <v>28</v>
      </c>
    </row>
    <row r="22" spans="2:3" ht="25.5" customHeight="1" x14ac:dyDescent="0.25">
      <c r="B22" s="6" t="s">
        <v>29</v>
      </c>
      <c r="C22" s="7" t="s">
        <v>30</v>
      </c>
    </row>
    <row r="23" spans="2:3" ht="25.5" customHeight="1" x14ac:dyDescent="0.25">
      <c r="B23" s="6" t="s">
        <v>31</v>
      </c>
      <c r="C23" s="7" t="s">
        <v>32</v>
      </c>
    </row>
    <row r="24" spans="2:3" ht="25.5" customHeight="1" x14ac:dyDescent="0.25">
      <c r="B24" s="6" t="s">
        <v>33</v>
      </c>
      <c r="C24" s="7" t="s">
        <v>34</v>
      </c>
    </row>
    <row r="25" spans="2:3" ht="25.5" customHeight="1" x14ac:dyDescent="0.25">
      <c r="B25" s="6" t="s">
        <v>35</v>
      </c>
      <c r="C25" s="7" t="s">
        <v>36</v>
      </c>
    </row>
    <row r="27" spans="2:3" x14ac:dyDescent="0.25">
      <c r="B27" s="4" t="s">
        <v>37</v>
      </c>
      <c r="C27" s="5"/>
    </row>
    <row r="28" spans="2:3" ht="25.5" customHeight="1" x14ac:dyDescent="0.25">
      <c r="B28" s="6" t="s">
        <v>38</v>
      </c>
      <c r="C28" s="7" t="s">
        <v>39</v>
      </c>
    </row>
    <row r="29" spans="2:3" ht="25.5" customHeight="1" x14ac:dyDescent="0.25">
      <c r="B29" s="6" t="s">
        <v>40</v>
      </c>
      <c r="C29" s="7" t="s">
        <v>41</v>
      </c>
    </row>
    <row r="30" spans="2:3" ht="25.5" customHeight="1" x14ac:dyDescent="0.25">
      <c r="B30" s="6" t="s">
        <v>42</v>
      </c>
      <c r="C30" s="7" t="s">
        <v>43</v>
      </c>
    </row>
    <row r="31" spans="2:3" ht="25.5" customHeight="1" x14ac:dyDescent="0.25">
      <c r="B31" s="6" t="s">
        <v>44</v>
      </c>
      <c r="C31" s="7" t="s">
        <v>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100"/>
  <sheetViews>
    <sheetView topLeftCell="A39" zoomScaleNormal="100" workbookViewId="0">
      <selection activeCell="C60" sqref="C60"/>
    </sheetView>
  </sheetViews>
  <sheetFormatPr defaultColWidth="8.7109375" defaultRowHeight="15" x14ac:dyDescent="0.25"/>
  <cols>
    <col min="1" max="1" width="2" customWidth="1"/>
    <col min="2" max="2" width="46" customWidth="1"/>
    <col min="3" max="5" width="13" customWidth="1"/>
    <col min="6" max="6" width="42" customWidth="1"/>
  </cols>
  <sheetData>
    <row r="1" spans="2:9" ht="18" x14ac:dyDescent="0.25">
      <c r="B1" s="2" t="s">
        <v>21</v>
      </c>
    </row>
    <row r="2" spans="2:9" x14ac:dyDescent="0.25">
      <c r="B2" s="3" t="s">
        <v>46</v>
      </c>
    </row>
    <row r="4" spans="2:9" x14ac:dyDescent="0.25">
      <c r="B4" s="4" t="s">
        <v>47</v>
      </c>
      <c r="C4" s="5"/>
      <c r="D4" s="5"/>
      <c r="E4" s="5"/>
      <c r="F4" s="5"/>
      <c r="G4" s="5"/>
      <c r="H4" s="5"/>
      <c r="I4" s="5"/>
    </row>
    <row r="5" spans="2:9" x14ac:dyDescent="0.25">
      <c r="B5" s="6" t="s">
        <v>48</v>
      </c>
      <c r="C5" s="8">
        <v>2</v>
      </c>
      <c r="F5" s="3" t="s">
        <v>49</v>
      </c>
    </row>
    <row r="6" spans="2:9" x14ac:dyDescent="0.25">
      <c r="B6" s="9" t="s">
        <v>50</v>
      </c>
      <c r="C6" s="10">
        <f>INDEX(Сценарии!$D$5:$F$5,1,$C$5)</f>
        <v>1</v>
      </c>
    </row>
    <row r="7" spans="2:9" x14ac:dyDescent="0.25">
      <c r="B7" s="9" t="s">
        <v>51</v>
      </c>
      <c r="C7" s="10">
        <f>INDEX(Сценарии!$D$6:$F$6,1,$C$5)</f>
        <v>1</v>
      </c>
    </row>
    <row r="8" spans="2:9" x14ac:dyDescent="0.25">
      <c r="B8" s="9" t="s">
        <v>52</v>
      </c>
      <c r="C8" s="10">
        <f>INDEX(Сценарии!$D$7:$F$7,1,$C$5)</f>
        <v>1</v>
      </c>
    </row>
    <row r="10" spans="2:9" x14ac:dyDescent="0.25">
      <c r="B10" s="4" t="s">
        <v>53</v>
      </c>
      <c r="C10" s="5"/>
      <c r="D10" s="5"/>
      <c r="E10" s="5"/>
      <c r="F10" s="5"/>
      <c r="G10" s="5"/>
      <c r="H10" s="5"/>
      <c r="I10" s="5"/>
    </row>
    <row r="11" spans="2:9" x14ac:dyDescent="0.25">
      <c r="B11" s="11" t="s">
        <v>54</v>
      </c>
      <c r="C11" s="11" t="s">
        <v>55</v>
      </c>
      <c r="D11" s="11" t="s">
        <v>56</v>
      </c>
      <c r="E11" s="11" t="s">
        <v>57</v>
      </c>
      <c r="F11" s="11" t="s">
        <v>58</v>
      </c>
    </row>
    <row r="12" spans="2:9" x14ac:dyDescent="0.25">
      <c r="B12" s="6" t="s">
        <v>59</v>
      </c>
      <c r="C12" s="12">
        <v>30</v>
      </c>
      <c r="D12" s="8">
        <v>4900</v>
      </c>
      <c r="E12" s="13">
        <v>24</v>
      </c>
      <c r="F12" s="14">
        <v>0</v>
      </c>
      <c r="G12">
        <f>D12/E12</f>
        <v>204.16666666666666</v>
      </c>
    </row>
    <row r="13" spans="2:9" x14ac:dyDescent="0.25">
      <c r="B13" s="6" t="s">
        <v>60</v>
      </c>
      <c r="C13" s="12">
        <v>60</v>
      </c>
      <c r="D13" s="8">
        <v>7300</v>
      </c>
      <c r="E13" s="13">
        <v>45</v>
      </c>
      <c r="F13" s="14">
        <v>0.65</v>
      </c>
      <c r="G13">
        <f>D13/E13</f>
        <v>162.22222222222223</v>
      </c>
    </row>
    <row r="14" spans="2:9" x14ac:dyDescent="0.25">
      <c r="B14" s="6" t="s">
        <v>61</v>
      </c>
      <c r="C14" s="12">
        <v>100</v>
      </c>
      <c r="D14" s="8">
        <v>11500</v>
      </c>
      <c r="E14" s="13">
        <v>78</v>
      </c>
      <c r="F14" s="14">
        <v>0.35</v>
      </c>
      <c r="G14">
        <f>D14/E14</f>
        <v>147.43589743589743</v>
      </c>
    </row>
    <row r="15" spans="2:9" x14ac:dyDescent="0.25">
      <c r="B15" s="6" t="s">
        <v>62</v>
      </c>
      <c r="F15" s="15">
        <f>SUM(F12:F14)</f>
        <v>1</v>
      </c>
      <c r="G15" s="9" t="str">
        <f>IF(ROUND(F15,4)=1,"ОК","ГРЕШКА — трябва да е 100%")</f>
        <v>ОК</v>
      </c>
    </row>
    <row r="16" spans="2:9" x14ac:dyDescent="0.25">
      <c r="B16" s="9" t="s">
        <v>63</v>
      </c>
      <c r="C16" s="16">
        <v>0</v>
      </c>
      <c r="D16" s="16">
        <v>0.1</v>
      </c>
      <c r="E16" s="16">
        <v>0.1</v>
      </c>
    </row>
    <row r="17" spans="2:9" x14ac:dyDescent="0.25">
      <c r="B17" s="9" t="s">
        <v>64</v>
      </c>
      <c r="C17" s="16">
        <v>0.2</v>
      </c>
    </row>
    <row r="19" spans="2:9" x14ac:dyDescent="0.25">
      <c r="B19" s="4" t="s">
        <v>65</v>
      </c>
      <c r="C19" s="5"/>
      <c r="D19" s="5"/>
      <c r="E19" s="5"/>
      <c r="F19" s="5"/>
      <c r="G19" s="5"/>
      <c r="H19" s="5"/>
      <c r="I19" s="5"/>
    </row>
    <row r="20" spans="2:9" x14ac:dyDescent="0.25">
      <c r="B20" s="11" t="s">
        <v>66</v>
      </c>
      <c r="C20" s="11" t="s">
        <v>67</v>
      </c>
      <c r="D20" s="11" t="s">
        <v>68</v>
      </c>
      <c r="E20" s="11" t="s">
        <v>69</v>
      </c>
      <c r="F20" s="11" t="s">
        <v>70</v>
      </c>
    </row>
    <row r="21" spans="2:9" x14ac:dyDescent="0.25">
      <c r="B21" s="9" t="s">
        <v>71</v>
      </c>
      <c r="C21" s="8">
        <v>42</v>
      </c>
      <c r="D21" s="8">
        <v>38</v>
      </c>
      <c r="E21" s="8">
        <v>35</v>
      </c>
      <c r="F21" s="3" t="s">
        <v>72</v>
      </c>
    </row>
    <row r="22" spans="2:9" x14ac:dyDescent="0.25">
      <c r="B22" s="9" t="s">
        <v>73</v>
      </c>
      <c r="C22" s="17">
        <v>16</v>
      </c>
      <c r="D22" s="17">
        <v>15</v>
      </c>
      <c r="E22" s="17">
        <v>15</v>
      </c>
      <c r="F22" s="3" t="s">
        <v>74</v>
      </c>
    </row>
    <row r="23" spans="2:9" x14ac:dyDescent="0.25">
      <c r="B23" s="9" t="s">
        <v>75</v>
      </c>
      <c r="C23" s="12">
        <v>50</v>
      </c>
      <c r="D23" s="12">
        <v>50</v>
      </c>
      <c r="E23" s="12">
        <v>50</v>
      </c>
      <c r="F23" s="3" t="s">
        <v>76</v>
      </c>
    </row>
    <row r="24" spans="2:9" x14ac:dyDescent="0.25">
      <c r="B24" s="9" t="s">
        <v>77</v>
      </c>
      <c r="C24" s="16">
        <v>1</v>
      </c>
      <c r="D24" s="16">
        <v>0.94</v>
      </c>
      <c r="E24" s="16">
        <v>0.9</v>
      </c>
      <c r="F24" s="3" t="s">
        <v>78</v>
      </c>
    </row>
    <row r="26" spans="2:9" x14ac:dyDescent="0.25">
      <c r="B26" s="6" t="s">
        <v>79</v>
      </c>
    </row>
    <row r="27" spans="2:9" x14ac:dyDescent="0.25">
      <c r="B27" s="11" t="s">
        <v>80</v>
      </c>
      <c r="C27" s="11" t="s">
        <v>81</v>
      </c>
      <c r="D27" s="11" t="s">
        <v>82</v>
      </c>
      <c r="E27" s="11" t="s">
        <v>83</v>
      </c>
      <c r="F27" s="11" t="s">
        <v>70</v>
      </c>
    </row>
    <row r="28" spans="2:9" x14ac:dyDescent="0.25">
      <c r="B28" s="9" t="s">
        <v>84</v>
      </c>
      <c r="C28" s="12">
        <v>0</v>
      </c>
      <c r="D28" s="12">
        <v>0</v>
      </c>
      <c r="E28" s="12">
        <v>0</v>
      </c>
    </row>
    <row r="29" spans="2:9" x14ac:dyDescent="0.25">
      <c r="B29" s="9" t="s">
        <v>85</v>
      </c>
      <c r="C29" s="12">
        <v>80</v>
      </c>
      <c r="D29" s="12">
        <v>100</v>
      </c>
      <c r="E29" s="12">
        <v>150</v>
      </c>
    </row>
    <row r="30" spans="2:9" x14ac:dyDescent="0.25">
      <c r="B30" s="9" t="s">
        <v>86</v>
      </c>
      <c r="C30" s="12">
        <v>100</v>
      </c>
      <c r="D30" s="12">
        <v>100</v>
      </c>
      <c r="E30" s="12">
        <v>100</v>
      </c>
    </row>
    <row r="31" spans="2:9" x14ac:dyDescent="0.25">
      <c r="B31" s="9" t="s">
        <v>87</v>
      </c>
      <c r="C31" s="12">
        <v>80</v>
      </c>
      <c r="D31" s="12">
        <v>90</v>
      </c>
      <c r="E31" s="12">
        <v>110</v>
      </c>
      <c r="F31" s="3" t="s">
        <v>88</v>
      </c>
    </row>
    <row r="32" spans="2:9" x14ac:dyDescent="0.25">
      <c r="B32" s="9" t="s">
        <v>89</v>
      </c>
      <c r="C32" s="12">
        <v>60</v>
      </c>
      <c r="D32" s="12">
        <v>60</v>
      </c>
      <c r="E32" s="12">
        <v>70</v>
      </c>
    </row>
    <row r="33" spans="2:9" x14ac:dyDescent="0.25">
      <c r="B33" s="9" t="s">
        <v>90</v>
      </c>
      <c r="C33" s="12">
        <v>340</v>
      </c>
      <c r="D33" s="12">
        <v>380</v>
      </c>
      <c r="E33" s="12">
        <v>430</v>
      </c>
      <c r="F33" s="3" t="s">
        <v>91</v>
      </c>
    </row>
    <row r="34" spans="2:9" x14ac:dyDescent="0.25">
      <c r="B34" s="9" t="s">
        <v>92</v>
      </c>
      <c r="C34" s="12">
        <v>240</v>
      </c>
      <c r="D34" s="12">
        <v>260</v>
      </c>
      <c r="E34" s="12">
        <v>300</v>
      </c>
      <c r="F34" s="3" t="s">
        <v>93</v>
      </c>
    </row>
    <row r="35" spans="2:9" x14ac:dyDescent="0.25">
      <c r="B35" s="9" t="s">
        <v>94</v>
      </c>
      <c r="C35" s="12">
        <v>90</v>
      </c>
      <c r="D35" s="12">
        <v>90</v>
      </c>
      <c r="E35" s="12">
        <v>90</v>
      </c>
      <c r="F35" s="3" t="s">
        <v>95</v>
      </c>
    </row>
    <row r="36" spans="2:9" x14ac:dyDescent="0.25">
      <c r="B36" s="9" t="s">
        <v>96</v>
      </c>
      <c r="C36" s="12">
        <v>150</v>
      </c>
      <c r="D36" s="12">
        <v>150</v>
      </c>
      <c r="E36" s="12">
        <v>200</v>
      </c>
      <c r="F36" s="3" t="s">
        <v>97</v>
      </c>
    </row>
    <row r="37" spans="2:9" x14ac:dyDescent="0.25">
      <c r="B37" s="9" t="s">
        <v>98</v>
      </c>
      <c r="C37" s="12">
        <v>70</v>
      </c>
      <c r="D37" s="12">
        <v>80</v>
      </c>
      <c r="E37" s="12">
        <v>100</v>
      </c>
    </row>
    <row r="38" spans="2:9" x14ac:dyDescent="0.25">
      <c r="B38" s="18" t="s">
        <v>99</v>
      </c>
      <c r="C38" s="19">
        <f>SUM(C28:C37)</f>
        <v>1210</v>
      </c>
      <c r="D38" s="19">
        <f>SUM(D28:D37)</f>
        <v>1310</v>
      </c>
      <c r="E38" s="19">
        <f>SUM(E28:E37)</f>
        <v>1550</v>
      </c>
    </row>
    <row r="40" spans="2:9" x14ac:dyDescent="0.25">
      <c r="B40" s="4" t="s">
        <v>100</v>
      </c>
      <c r="C40" s="5"/>
      <c r="D40" s="5"/>
      <c r="E40" s="5"/>
      <c r="F40" s="5"/>
      <c r="G40" s="5"/>
      <c r="H40" s="5"/>
      <c r="I40" s="5"/>
    </row>
    <row r="41" spans="2:9" x14ac:dyDescent="0.25">
      <c r="B41" s="11" t="s">
        <v>101</v>
      </c>
      <c r="C41" s="11" t="s">
        <v>102</v>
      </c>
      <c r="D41" s="11" t="s">
        <v>103</v>
      </c>
      <c r="E41" s="11" t="s">
        <v>104</v>
      </c>
      <c r="F41" s="11" t="s">
        <v>70</v>
      </c>
    </row>
    <row r="42" spans="2:9" x14ac:dyDescent="0.25">
      <c r="B42" s="9" t="s">
        <v>105</v>
      </c>
      <c r="C42" s="16">
        <v>0.65</v>
      </c>
      <c r="D42" s="12">
        <v>1650</v>
      </c>
      <c r="E42" s="12">
        <v>1180</v>
      </c>
      <c r="F42" s="3" t="s">
        <v>106</v>
      </c>
    </row>
    <row r="43" spans="2:9" x14ac:dyDescent="0.25">
      <c r="B43" s="9" t="s">
        <v>107</v>
      </c>
      <c r="C43" s="16">
        <v>0.18</v>
      </c>
      <c r="D43" s="12">
        <v>5000</v>
      </c>
      <c r="E43" s="12">
        <v>2000</v>
      </c>
      <c r="F43" s="3" t="s">
        <v>108</v>
      </c>
    </row>
    <row r="44" spans="2:9" x14ac:dyDescent="0.25">
      <c r="B44" s="9" t="s">
        <v>109</v>
      </c>
      <c r="C44" s="16">
        <v>0.75</v>
      </c>
      <c r="D44" s="12">
        <v>160</v>
      </c>
      <c r="E44" s="12">
        <v>95</v>
      </c>
      <c r="F44" s="3" t="s">
        <v>110</v>
      </c>
    </row>
    <row r="45" spans="2:9" x14ac:dyDescent="0.25">
      <c r="B45" s="9" t="s">
        <v>111</v>
      </c>
      <c r="C45" s="16">
        <v>0.1</v>
      </c>
    </row>
    <row r="46" spans="2:9" x14ac:dyDescent="0.25">
      <c r="B46" s="9" t="s">
        <v>112</v>
      </c>
      <c r="C46" s="12">
        <v>55</v>
      </c>
    </row>
    <row r="47" spans="2:9" x14ac:dyDescent="0.25">
      <c r="B47" s="9" t="s">
        <v>113</v>
      </c>
      <c r="C47" s="12">
        <v>18</v>
      </c>
    </row>
    <row r="48" spans="2:9" x14ac:dyDescent="0.25">
      <c r="B48" s="9" t="s">
        <v>114</v>
      </c>
      <c r="C48" s="16">
        <v>8.0000000000000002E-3</v>
      </c>
    </row>
    <row r="50" spans="2:15" x14ac:dyDescent="0.25">
      <c r="B50" s="4" t="s">
        <v>115</v>
      </c>
      <c r="C50" s="5"/>
      <c r="D50" s="5"/>
      <c r="E50" s="5"/>
      <c r="F50" s="5"/>
      <c r="G50" s="5"/>
      <c r="H50" s="5"/>
      <c r="I50" s="5"/>
    </row>
    <row r="51" spans="2:15" x14ac:dyDescent="0.25">
      <c r="B51" s="9" t="s">
        <v>116</v>
      </c>
      <c r="C51" s="14">
        <v>0.1</v>
      </c>
      <c r="F51" s="3" t="s">
        <v>117</v>
      </c>
    </row>
    <row r="52" spans="2:15" x14ac:dyDescent="0.25">
      <c r="B52" s="9" t="s">
        <v>118</v>
      </c>
      <c r="C52" s="14">
        <v>0.35</v>
      </c>
      <c r="F52" s="3" t="s">
        <v>119</v>
      </c>
    </row>
    <row r="53" spans="2:15" x14ac:dyDescent="0.25">
      <c r="B53" s="9" t="s">
        <v>120</v>
      </c>
      <c r="C53" s="16">
        <v>0.7</v>
      </c>
      <c r="F53" s="3" t="s">
        <v>121</v>
      </c>
    </row>
    <row r="54" spans="2:15" x14ac:dyDescent="0.25">
      <c r="B54" s="9" t="s">
        <v>122</v>
      </c>
      <c r="C54" s="16">
        <v>0.72</v>
      </c>
      <c r="F54" s="3" t="s">
        <v>123</v>
      </c>
    </row>
    <row r="55" spans="2:15" x14ac:dyDescent="0.25">
      <c r="B55" s="9" t="s">
        <v>124</v>
      </c>
      <c r="C55" s="14">
        <v>0.08</v>
      </c>
      <c r="F55" s="3" t="s">
        <v>125</v>
      </c>
    </row>
    <row r="56" spans="2:15" x14ac:dyDescent="0.25">
      <c r="B56" s="9" t="s">
        <v>126</v>
      </c>
      <c r="C56" s="16">
        <v>0.25</v>
      </c>
      <c r="F56" s="3" t="s">
        <v>127</v>
      </c>
    </row>
    <row r="58" spans="2:15" x14ac:dyDescent="0.25">
      <c r="B58" s="4" t="s">
        <v>128</v>
      </c>
      <c r="C58" s="5"/>
      <c r="D58" s="5"/>
      <c r="E58" s="5"/>
      <c r="F58" s="5"/>
      <c r="G58" s="5"/>
      <c r="H58" s="5"/>
      <c r="I58" s="5"/>
    </row>
    <row r="59" spans="2:15" x14ac:dyDescent="0.25">
      <c r="B59" s="11" t="s">
        <v>66</v>
      </c>
      <c r="C59" s="11" t="s">
        <v>67</v>
      </c>
      <c r="D59" s="11" t="s">
        <v>68</v>
      </c>
      <c r="E59" s="11" t="s">
        <v>69</v>
      </c>
      <c r="F59" s="11" t="s">
        <v>70</v>
      </c>
    </row>
    <row r="60" spans="2:15" x14ac:dyDescent="0.25">
      <c r="B60" s="6" t="s">
        <v>129</v>
      </c>
      <c r="C60" s="8">
        <v>26</v>
      </c>
      <c r="D60" s="8">
        <v>35</v>
      </c>
      <c r="E60" s="8">
        <v>50</v>
      </c>
      <c r="F60" s="3" t="s">
        <v>130</v>
      </c>
    </row>
    <row r="61" spans="2:15" x14ac:dyDescent="0.25">
      <c r="B61" s="9" t="s">
        <v>131</v>
      </c>
      <c r="C61" s="12">
        <v>4</v>
      </c>
      <c r="F61" s="3" t="s">
        <v>132</v>
      </c>
    </row>
    <row r="62" spans="2:15" x14ac:dyDescent="0.25">
      <c r="B62" s="6" t="s">
        <v>133</v>
      </c>
    </row>
    <row r="63" spans="2:15" x14ac:dyDescent="0.25">
      <c r="C63" s="20" t="s">
        <v>134</v>
      </c>
      <c r="D63" s="20" t="s">
        <v>135</v>
      </c>
      <c r="E63" s="20" t="s">
        <v>136</v>
      </c>
      <c r="F63" s="20" t="s">
        <v>137</v>
      </c>
      <c r="G63" s="20" t="s">
        <v>138</v>
      </c>
      <c r="H63" s="20" t="s">
        <v>139</v>
      </c>
      <c r="I63" s="20" t="s">
        <v>140</v>
      </c>
      <c r="J63" s="20" t="s">
        <v>141</v>
      </c>
      <c r="K63" s="20" t="s">
        <v>142</v>
      </c>
      <c r="L63" s="20" t="s">
        <v>143</v>
      </c>
      <c r="M63" s="20" t="s">
        <v>144</v>
      </c>
      <c r="N63" s="20" t="s">
        <v>145</v>
      </c>
    </row>
    <row r="64" spans="2:15" x14ac:dyDescent="0.25">
      <c r="C64" s="21">
        <v>0.3</v>
      </c>
      <c r="D64" s="21">
        <v>0.4</v>
      </c>
      <c r="E64" s="21">
        <v>0.8</v>
      </c>
      <c r="F64" s="21">
        <v>1</v>
      </c>
      <c r="G64" s="21">
        <v>1.2</v>
      </c>
      <c r="H64" s="21">
        <v>1.4</v>
      </c>
      <c r="I64" s="21">
        <v>1.5</v>
      </c>
      <c r="J64" s="21">
        <v>2</v>
      </c>
      <c r="K64" s="21">
        <v>1.3</v>
      </c>
      <c r="L64" s="21">
        <v>1.1000000000000001</v>
      </c>
      <c r="M64" s="21">
        <v>0.7</v>
      </c>
      <c r="N64" s="21">
        <v>0.3</v>
      </c>
      <c r="O64" s="52"/>
    </row>
    <row r="65" spans="2:9" x14ac:dyDescent="0.25">
      <c r="B65" s="9" t="s">
        <v>146</v>
      </c>
      <c r="C65" s="22">
        <f>SUM(C64:N64)</f>
        <v>12</v>
      </c>
      <c r="D65" s="9" t="str">
        <f>IF(ROUND(C65,2)=12,"ОК","Коригирай — сборът трябва да е 12")</f>
        <v>ОК</v>
      </c>
    </row>
    <row r="67" spans="2:9" x14ac:dyDescent="0.25">
      <c r="B67" s="4" t="s">
        <v>147</v>
      </c>
      <c r="C67" s="5"/>
      <c r="D67" s="5"/>
      <c r="E67" s="5"/>
      <c r="F67" s="5"/>
      <c r="G67" s="5"/>
      <c r="H67" s="5"/>
      <c r="I67" s="5"/>
    </row>
    <row r="68" spans="2:9" x14ac:dyDescent="0.25">
      <c r="B68" s="11" t="s">
        <v>148</v>
      </c>
      <c r="C68" s="11" t="s">
        <v>67</v>
      </c>
      <c r="D68" s="11" t="s">
        <v>68</v>
      </c>
      <c r="E68" s="11" t="s">
        <v>69</v>
      </c>
      <c r="F68" s="11" t="s">
        <v>70</v>
      </c>
    </row>
    <row r="69" spans="2:9" x14ac:dyDescent="0.25">
      <c r="B69" s="9" t="s">
        <v>149</v>
      </c>
      <c r="C69" s="12">
        <v>2500</v>
      </c>
      <c r="D69" s="12">
        <v>5000</v>
      </c>
      <c r="E69" s="12">
        <v>5000</v>
      </c>
      <c r="F69" s="3" t="s">
        <v>150</v>
      </c>
    </row>
    <row r="70" spans="2:9" x14ac:dyDescent="0.25">
      <c r="B70" s="9" t="s">
        <v>151</v>
      </c>
      <c r="C70" s="12">
        <v>0</v>
      </c>
      <c r="D70" s="12">
        <v>0</v>
      </c>
      <c r="E70" s="12">
        <v>2400</v>
      </c>
      <c r="F70" s="3" t="s">
        <v>152</v>
      </c>
    </row>
    <row r="71" spans="2:9" x14ac:dyDescent="0.25">
      <c r="B71" s="9" t="s">
        <v>153</v>
      </c>
      <c r="C71" s="12">
        <v>0</v>
      </c>
      <c r="D71" s="12">
        <v>0</v>
      </c>
      <c r="E71" s="12">
        <v>1400</v>
      </c>
      <c r="F71" s="3" t="s">
        <v>154</v>
      </c>
    </row>
    <row r="72" spans="2:9" x14ac:dyDescent="0.25">
      <c r="B72" s="9" t="s">
        <v>155</v>
      </c>
      <c r="C72" s="12">
        <v>0</v>
      </c>
      <c r="D72" s="12">
        <v>0</v>
      </c>
      <c r="E72" s="12">
        <v>1300</v>
      </c>
      <c r="F72" s="3" t="s">
        <v>156</v>
      </c>
    </row>
    <row r="73" spans="2:9" x14ac:dyDescent="0.25">
      <c r="B73" s="18" t="s">
        <v>157</v>
      </c>
      <c r="C73" s="19">
        <f>SUM(C69:C72)</f>
        <v>2500</v>
      </c>
      <c r="D73" s="19">
        <f>SUM(D69:D72)</f>
        <v>5000</v>
      </c>
      <c r="E73" s="19">
        <f>SUM(E69:E72)</f>
        <v>10100</v>
      </c>
    </row>
    <row r="74" spans="2:9" x14ac:dyDescent="0.25">
      <c r="B74" s="9" t="s">
        <v>158</v>
      </c>
      <c r="C74" s="16">
        <v>0.19</v>
      </c>
      <c r="D74" s="16">
        <v>0.19</v>
      </c>
      <c r="E74" s="16">
        <v>0.19</v>
      </c>
    </row>
    <row r="75" spans="2:9" x14ac:dyDescent="0.25">
      <c r="B75" s="9" t="s">
        <v>159</v>
      </c>
      <c r="C75" s="12">
        <v>1200</v>
      </c>
      <c r="D75" s="12">
        <v>1800</v>
      </c>
      <c r="E75" s="12">
        <v>2200</v>
      </c>
      <c r="F75" s="3" t="s">
        <v>160</v>
      </c>
    </row>
    <row r="76" spans="2:9" x14ac:dyDescent="0.25">
      <c r="B76" s="9" t="s">
        <v>161</v>
      </c>
      <c r="C76" s="12">
        <v>930</v>
      </c>
      <c r="D76" s="12">
        <v>1250</v>
      </c>
      <c r="E76" s="12">
        <v>1900</v>
      </c>
    </row>
    <row r="77" spans="2:9" x14ac:dyDescent="0.25">
      <c r="B77" s="9" t="s">
        <v>162</v>
      </c>
      <c r="C77" s="12">
        <v>180</v>
      </c>
      <c r="D77" s="12">
        <v>250</v>
      </c>
      <c r="E77" s="12">
        <v>320</v>
      </c>
      <c r="F77" s="3" t="s">
        <v>163</v>
      </c>
    </row>
    <row r="78" spans="2:9" x14ac:dyDescent="0.25">
      <c r="B78" s="9" t="s">
        <v>164</v>
      </c>
      <c r="C78" s="12">
        <v>250</v>
      </c>
      <c r="D78" s="12">
        <v>350</v>
      </c>
      <c r="E78" s="12">
        <v>450</v>
      </c>
    </row>
    <row r="79" spans="2:9" x14ac:dyDescent="0.25">
      <c r="B79" s="9" t="s">
        <v>165</v>
      </c>
      <c r="C79" s="12">
        <v>120</v>
      </c>
      <c r="D79" s="12">
        <v>200</v>
      </c>
      <c r="E79" s="12">
        <v>260</v>
      </c>
    </row>
    <row r="80" spans="2:9" x14ac:dyDescent="0.25">
      <c r="B80" s="9" t="s">
        <v>166</v>
      </c>
      <c r="C80" s="12">
        <v>200</v>
      </c>
      <c r="D80" s="12">
        <v>350</v>
      </c>
      <c r="E80" s="12">
        <v>450</v>
      </c>
    </row>
    <row r="81" spans="2:9" x14ac:dyDescent="0.25">
      <c r="B81" s="9" t="s">
        <v>167</v>
      </c>
      <c r="C81" s="12">
        <v>150</v>
      </c>
      <c r="D81" s="12">
        <v>200</v>
      </c>
      <c r="E81" s="12">
        <v>250</v>
      </c>
    </row>
    <row r="82" spans="2:9" x14ac:dyDescent="0.25">
      <c r="B82" s="18" t="s">
        <v>168</v>
      </c>
      <c r="C82" s="19">
        <f>SUM(C75:C81)</f>
        <v>3030</v>
      </c>
      <c r="D82" s="19">
        <f>SUM(D75:D81)</f>
        <v>4400</v>
      </c>
      <c r="E82" s="19">
        <f>SUM(E75:E81)</f>
        <v>5830</v>
      </c>
    </row>
    <row r="84" spans="2:9" x14ac:dyDescent="0.25">
      <c r="B84" s="4" t="s">
        <v>169</v>
      </c>
      <c r="C84" s="5"/>
      <c r="D84" s="5"/>
      <c r="E84" s="5"/>
      <c r="F84" s="5"/>
      <c r="G84" s="5"/>
      <c r="H84" s="5"/>
      <c r="I84" s="5"/>
    </row>
    <row r="85" spans="2:9" x14ac:dyDescent="0.25">
      <c r="B85" s="11" t="s">
        <v>148</v>
      </c>
      <c r="C85" s="11" t="s">
        <v>67</v>
      </c>
      <c r="D85" s="11" t="s">
        <v>68</v>
      </c>
      <c r="E85" s="11" t="s">
        <v>69</v>
      </c>
      <c r="F85" s="11" t="s">
        <v>70</v>
      </c>
    </row>
    <row r="86" spans="2:9" x14ac:dyDescent="0.25">
      <c r="B86" s="9" t="s">
        <v>170</v>
      </c>
      <c r="C86" s="12">
        <v>3000</v>
      </c>
      <c r="D86" s="12">
        <v>1500</v>
      </c>
      <c r="E86" s="12">
        <v>2000</v>
      </c>
    </row>
    <row r="87" spans="2:9" x14ac:dyDescent="0.25">
      <c r="B87" s="9" t="s">
        <v>171</v>
      </c>
      <c r="C87" s="12">
        <v>100</v>
      </c>
      <c r="D87" s="12">
        <v>100</v>
      </c>
      <c r="E87" s="12">
        <v>100</v>
      </c>
    </row>
    <row r="88" spans="2:9" x14ac:dyDescent="0.25">
      <c r="B88" s="9" t="s">
        <v>172</v>
      </c>
      <c r="C88" s="12">
        <v>500</v>
      </c>
      <c r="D88" s="12">
        <v>1000</v>
      </c>
      <c r="E88" s="12">
        <v>3500</v>
      </c>
      <c r="F88" s="3" t="s">
        <v>173</v>
      </c>
    </row>
    <row r="89" spans="2:9" x14ac:dyDescent="0.25">
      <c r="B89" s="9" t="s">
        <v>174</v>
      </c>
      <c r="C89" s="12">
        <v>2000</v>
      </c>
      <c r="D89" s="12">
        <v>2500</v>
      </c>
      <c r="E89" s="12">
        <v>0</v>
      </c>
    </row>
    <row r="90" spans="2:9" x14ac:dyDescent="0.25">
      <c r="B90" s="9" t="s">
        <v>175</v>
      </c>
      <c r="C90" s="12">
        <v>100</v>
      </c>
      <c r="D90" s="12">
        <v>0</v>
      </c>
      <c r="E90" s="12">
        <v>0</v>
      </c>
      <c r="F90" s="3" t="s">
        <v>176</v>
      </c>
    </row>
    <row r="91" spans="2:9" x14ac:dyDescent="0.25">
      <c r="B91" s="18" t="s">
        <v>177</v>
      </c>
      <c r="C91" s="19">
        <f>SUM(C86:C90)</f>
        <v>5700</v>
      </c>
      <c r="D91" s="19">
        <f>SUM(D86:D90)</f>
        <v>5100</v>
      </c>
      <c r="E91" s="19">
        <f>SUM(E86:E90)</f>
        <v>5600</v>
      </c>
    </row>
    <row r="92" spans="2:9" x14ac:dyDescent="0.25">
      <c r="B92" s="9" t="s">
        <v>178</v>
      </c>
      <c r="C92" s="12">
        <v>5</v>
      </c>
    </row>
    <row r="93" spans="2:9" x14ac:dyDescent="0.25">
      <c r="B93" s="6" t="s">
        <v>179</v>
      </c>
      <c r="C93" s="8">
        <v>50000</v>
      </c>
      <c r="F93" s="3" t="s">
        <v>180</v>
      </c>
    </row>
    <row r="94" spans="2:9" x14ac:dyDescent="0.25">
      <c r="B94" s="9" t="s">
        <v>181</v>
      </c>
      <c r="C94" s="12">
        <v>10000</v>
      </c>
      <c r="F94" s="3" t="s">
        <v>182</v>
      </c>
    </row>
    <row r="95" spans="2:9" x14ac:dyDescent="0.25">
      <c r="B95" s="9" t="s">
        <v>183</v>
      </c>
      <c r="C95" s="16">
        <v>0.1</v>
      </c>
    </row>
    <row r="97" spans="2:9" x14ac:dyDescent="0.25">
      <c r="B97" s="4" t="s">
        <v>184</v>
      </c>
      <c r="C97" s="5"/>
      <c r="D97" s="5"/>
      <c r="E97" s="5"/>
      <c r="F97" s="5"/>
      <c r="G97" s="5"/>
      <c r="H97" s="5"/>
      <c r="I97" s="5"/>
    </row>
    <row r="98" spans="2:9" x14ac:dyDescent="0.25">
      <c r="B98" s="9" t="s">
        <v>185</v>
      </c>
      <c r="C98" s="16">
        <v>0.9</v>
      </c>
      <c r="F98" s="3" t="s">
        <v>186</v>
      </c>
    </row>
    <row r="99" spans="2:9" x14ac:dyDescent="0.25">
      <c r="B99" s="9" t="s">
        <v>187</v>
      </c>
      <c r="C99" s="15">
        <f>1-$C$98</f>
        <v>9.9999999999999978E-2</v>
      </c>
    </row>
    <row r="100" spans="2:9" x14ac:dyDescent="0.25">
      <c r="B100" s="9" t="s">
        <v>188</v>
      </c>
      <c r="C100" s="16">
        <v>1</v>
      </c>
      <c r="F100" s="3" t="s">
        <v>189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42"/>
  <sheetViews>
    <sheetView zoomScaleNormal="100" workbookViewId="0">
      <selection activeCell="C7" sqref="C7"/>
    </sheetView>
  </sheetViews>
  <sheetFormatPr defaultColWidth="8.7109375" defaultRowHeight="15" x14ac:dyDescent="0.25"/>
  <cols>
    <col min="1" max="1" width="2" customWidth="1"/>
    <col min="2" max="2" width="46" customWidth="1"/>
    <col min="3" max="11" width="12" customWidth="1"/>
  </cols>
  <sheetData>
    <row r="1" spans="2:11" ht="18" x14ac:dyDescent="0.25">
      <c r="B1" s="2" t="s">
        <v>190</v>
      </c>
    </row>
    <row r="2" spans="2:11" x14ac:dyDescent="0.25">
      <c r="B2" s="3" t="s">
        <v>191</v>
      </c>
    </row>
    <row r="4" spans="2:11" x14ac:dyDescent="0.25">
      <c r="B4" s="6" t="s">
        <v>192</v>
      </c>
      <c r="C4" s="23">
        <v>1</v>
      </c>
      <c r="D4" s="23">
        <v>1</v>
      </c>
      <c r="E4" s="23">
        <v>1</v>
      </c>
      <c r="F4" s="23">
        <v>2</v>
      </c>
      <c r="G4" s="23">
        <v>2</v>
      </c>
      <c r="H4" s="23">
        <v>2</v>
      </c>
      <c r="I4" s="23">
        <v>3</v>
      </c>
      <c r="J4" s="23">
        <v>3</v>
      </c>
      <c r="K4" s="23">
        <v>3</v>
      </c>
    </row>
    <row r="5" spans="2:11" x14ac:dyDescent="0.25">
      <c r="B5" s="6" t="s">
        <v>54</v>
      </c>
      <c r="C5" s="23" t="s">
        <v>193</v>
      </c>
      <c r="D5" s="23" t="s">
        <v>194</v>
      </c>
      <c r="E5" s="23" t="s">
        <v>195</v>
      </c>
      <c r="F5" s="23" t="s">
        <v>193</v>
      </c>
      <c r="G5" s="23" t="s">
        <v>194</v>
      </c>
      <c r="H5" s="23" t="s">
        <v>195</v>
      </c>
      <c r="I5" s="23" t="s">
        <v>193</v>
      </c>
      <c r="J5" s="23" t="s">
        <v>194</v>
      </c>
      <c r="K5" s="23" t="s">
        <v>195</v>
      </c>
    </row>
    <row r="6" spans="2:11" x14ac:dyDescent="0.25">
      <c r="B6" s="9" t="s">
        <v>57</v>
      </c>
      <c r="C6" s="10">
        <f>Допускания!$E$12</f>
        <v>24</v>
      </c>
      <c r="D6" s="10">
        <f>Допускания!$E$13</f>
        <v>45</v>
      </c>
      <c r="E6" s="10">
        <f>Допускания!$E$14</f>
        <v>78</v>
      </c>
      <c r="F6" s="10">
        <f>Допускания!$E$12</f>
        <v>24</v>
      </c>
      <c r="G6" s="10">
        <f>Допускания!$E$13</f>
        <v>45</v>
      </c>
      <c r="H6" s="10">
        <f>Допускания!$E$14</f>
        <v>78</v>
      </c>
      <c r="I6" s="10">
        <f>Допускания!$E$12</f>
        <v>24</v>
      </c>
      <c r="J6" s="10">
        <f>Допускания!$E$13</f>
        <v>45</v>
      </c>
      <c r="K6" s="10">
        <f>Допускания!$E$14</f>
        <v>78</v>
      </c>
    </row>
    <row r="7" spans="2:11" x14ac:dyDescent="0.25">
      <c r="B7" s="9" t="s">
        <v>196</v>
      </c>
      <c r="C7" s="24">
        <f>Допускания!$D$12*(1+Допускания!$C$16)^0*Допускания!$C$7</f>
        <v>4900</v>
      </c>
      <c r="D7" s="24">
        <f>Допускания!$D$13*(1+Допускания!$C$16)^0*Допускания!$C$7</f>
        <v>7300</v>
      </c>
      <c r="E7" s="24">
        <f>Допускания!$D$14*(1+Допускания!$C$16)^0*Допускания!$C$7</f>
        <v>11500</v>
      </c>
      <c r="F7" s="24">
        <f>Допускания!$D$12*(1+Допускания!$D$16)^1*Допускания!$C$7</f>
        <v>5390</v>
      </c>
      <c r="G7" s="24">
        <f>Допускания!$D$13*(1+Допускания!$D$16)^1*Допускания!$C$7</f>
        <v>8030.0000000000009</v>
      </c>
      <c r="H7" s="24">
        <f>Допускания!$D$14*(1+Допускания!$D$16)^1*Допускания!$C$7</f>
        <v>12650.000000000002</v>
      </c>
      <c r="I7" s="24">
        <f>Допускания!$D$12*(1+Допускания!$E$16)^2*Допускания!$C$7</f>
        <v>5929.0000000000009</v>
      </c>
      <c r="J7" s="24">
        <f>Допускания!$D$13*(1+Допускания!$E$16)^2*Допускания!$C$7</f>
        <v>8833.0000000000018</v>
      </c>
      <c r="K7" s="24">
        <f>Допускания!$D$14*(1+Допускания!$E$16)^2*Допускания!$C$7</f>
        <v>13915.000000000002</v>
      </c>
    </row>
    <row r="8" spans="2:11" x14ac:dyDescent="0.25">
      <c r="B8" s="9" t="s">
        <v>197</v>
      </c>
      <c r="C8" s="25">
        <f>C7*(1+Допускания!$C$17)</f>
        <v>5880</v>
      </c>
      <c r="D8" s="25">
        <f>D7*(1+Допускания!$C$17)</f>
        <v>8760</v>
      </c>
      <c r="E8" s="25">
        <f>E7*(1+Допускания!$C$17)</f>
        <v>13800</v>
      </c>
      <c r="F8" s="25">
        <f>F7*(1+Допускания!$C$17)</f>
        <v>6468</v>
      </c>
      <c r="G8" s="25">
        <f>G7*(1+Допускания!$C$17)</f>
        <v>9636</v>
      </c>
      <c r="H8" s="25">
        <f>H7*(1+Допускания!$C$17)</f>
        <v>15180.000000000002</v>
      </c>
      <c r="I8" s="25">
        <f>I7*(1+Допускания!$C$17)</f>
        <v>7114.8000000000011</v>
      </c>
      <c r="J8" s="25">
        <f>J7*(1+Допускания!$C$17)</f>
        <v>10599.600000000002</v>
      </c>
      <c r="K8" s="25">
        <f>K7*(1+Допускания!$C$17)</f>
        <v>16698</v>
      </c>
    </row>
    <row r="10" spans="2:11" x14ac:dyDescent="0.25">
      <c r="B10" s="26" t="s">
        <v>198</v>
      </c>
    </row>
    <row r="11" spans="2:11" x14ac:dyDescent="0.25">
      <c r="B11" s="9" t="s">
        <v>199</v>
      </c>
      <c r="C11" s="24">
        <f>C6*Допускания!$C$21*Допускания!$C$8</f>
        <v>1008</v>
      </c>
      <c r="D11" s="24">
        <f>D6*Допускания!$C$21*Допускания!$C$8</f>
        <v>1890</v>
      </c>
      <c r="E11" s="24">
        <f>E6*Допускания!$C$21*Допускания!$C$8</f>
        <v>3276</v>
      </c>
      <c r="F11" s="24">
        <f>F6*Допускания!$D$21*Допускания!$C$8</f>
        <v>912</v>
      </c>
      <c r="G11" s="24">
        <f>G6*Допускания!$D$21*Допускания!$C$8</f>
        <v>1710</v>
      </c>
      <c r="H11" s="24">
        <f>H6*Допускания!$D$21*Допускания!$C$8</f>
        <v>2964</v>
      </c>
      <c r="I11" s="24">
        <f>I6*Допускания!$E$21*Допускания!$C$8</f>
        <v>840</v>
      </c>
      <c r="J11" s="24">
        <f>J6*Допускания!$E$21*Допускания!$C$8</f>
        <v>1575</v>
      </c>
      <c r="K11" s="24">
        <f>K6*Допускания!$E$21*Допускания!$C$8</f>
        <v>2730</v>
      </c>
    </row>
    <row r="12" spans="2:11" x14ac:dyDescent="0.25">
      <c r="B12" s="9" t="s">
        <v>200</v>
      </c>
      <c r="C12" s="24">
        <f>C6*Допускания!$C$22</f>
        <v>384</v>
      </c>
      <c r="D12" s="24">
        <f>D6*Допускания!$C$22</f>
        <v>720</v>
      </c>
      <c r="E12" s="24">
        <f>E6*Допускания!$C$22</f>
        <v>1248</v>
      </c>
      <c r="F12" s="24">
        <f>F6*Допускания!$D$22</f>
        <v>360</v>
      </c>
      <c r="G12" s="24">
        <f>G6*Допускания!$D$22</f>
        <v>675</v>
      </c>
      <c r="H12" s="24">
        <f>H6*Допускания!$D$22</f>
        <v>1170</v>
      </c>
      <c r="I12" s="24">
        <f>I6*Допускания!$E$22</f>
        <v>360</v>
      </c>
      <c r="J12" s="24">
        <f>J6*Допускания!$E$22</f>
        <v>675</v>
      </c>
      <c r="K12" s="24">
        <f>K6*Допускания!$E$22</f>
        <v>1170</v>
      </c>
    </row>
    <row r="13" spans="2:11" x14ac:dyDescent="0.25">
      <c r="B13" s="9" t="s">
        <v>201</v>
      </c>
      <c r="C13" s="24">
        <f>Допускания!$C$23</f>
        <v>50</v>
      </c>
      <c r="D13" s="24">
        <f>Допускания!$C$23</f>
        <v>50</v>
      </c>
      <c r="E13" s="24">
        <f>Допускания!$C$23</f>
        <v>50</v>
      </c>
      <c r="F13" s="24">
        <f>Допускания!$D$23</f>
        <v>50</v>
      </c>
      <c r="G13" s="24">
        <f>Допускания!$D$23</f>
        <v>50</v>
      </c>
      <c r="H13" s="24">
        <f>Допускания!$D$23</f>
        <v>50</v>
      </c>
      <c r="I13" s="24">
        <f>Допускания!$E$23</f>
        <v>50</v>
      </c>
      <c r="J13" s="24">
        <f>Допускания!$E$23</f>
        <v>50</v>
      </c>
      <c r="K13" s="24">
        <f>Допускания!$E$23</f>
        <v>50</v>
      </c>
    </row>
    <row r="14" spans="2:11" x14ac:dyDescent="0.25">
      <c r="B14" s="9" t="s">
        <v>202</v>
      </c>
      <c r="C14" s="24">
        <f>Допускания!$C$38*Допускания!$C$24</f>
        <v>1210</v>
      </c>
      <c r="D14" s="24">
        <f>Допускания!$D$38*Допускания!$C$24</f>
        <v>1310</v>
      </c>
      <c r="E14" s="24">
        <f>Допускания!$E$38*Допускания!$C$24</f>
        <v>1550</v>
      </c>
      <c r="F14" s="24">
        <f>Допускания!$C$38*Допускания!$D$24</f>
        <v>1137.3999999999999</v>
      </c>
      <c r="G14" s="24">
        <f>Допускания!$D$38*Допускания!$D$24</f>
        <v>1231.3999999999999</v>
      </c>
      <c r="H14" s="24">
        <f>Допускания!$E$38*Допускания!$D$24</f>
        <v>1457</v>
      </c>
      <c r="I14" s="24">
        <f>Допускания!$C$38*Допускания!$E$24</f>
        <v>1089</v>
      </c>
      <c r="J14" s="24">
        <f>Допускания!$D$38*Допускания!$E$24</f>
        <v>1179</v>
      </c>
      <c r="K14" s="24">
        <f>Допускания!$E$38*Допускания!$E$24</f>
        <v>1395</v>
      </c>
    </row>
    <row r="15" spans="2:11" x14ac:dyDescent="0.25">
      <c r="B15" s="18" t="s">
        <v>203</v>
      </c>
      <c r="C15" s="19">
        <f t="shared" ref="C15:K15" si="0">SUM(C11:C14)</f>
        <v>2652</v>
      </c>
      <c r="D15" s="19">
        <f t="shared" si="0"/>
        <v>3970</v>
      </c>
      <c r="E15" s="19">
        <f t="shared" si="0"/>
        <v>6124</v>
      </c>
      <c r="F15" s="19">
        <f t="shared" si="0"/>
        <v>2459.3999999999996</v>
      </c>
      <c r="G15" s="19">
        <f t="shared" si="0"/>
        <v>3666.3999999999996</v>
      </c>
      <c r="H15" s="19">
        <f t="shared" si="0"/>
        <v>5641</v>
      </c>
      <c r="I15" s="19">
        <f t="shared" si="0"/>
        <v>2339</v>
      </c>
      <c r="J15" s="19">
        <f t="shared" si="0"/>
        <v>3479</v>
      </c>
      <c r="K15" s="19">
        <f t="shared" si="0"/>
        <v>5345</v>
      </c>
    </row>
    <row r="17" spans="2:11" x14ac:dyDescent="0.25">
      <c r="B17" s="6" t="s">
        <v>204</v>
      </c>
      <c r="C17" s="27">
        <f t="shared" ref="C17:K17" si="1">C7-C15</f>
        <v>2248</v>
      </c>
      <c r="D17" s="27">
        <f t="shared" si="1"/>
        <v>3330</v>
      </c>
      <c r="E17" s="27">
        <f t="shared" si="1"/>
        <v>5376</v>
      </c>
      <c r="F17" s="27">
        <f t="shared" si="1"/>
        <v>2930.6000000000004</v>
      </c>
      <c r="G17" s="27">
        <f t="shared" si="1"/>
        <v>4363.6000000000013</v>
      </c>
      <c r="H17" s="27">
        <f t="shared" si="1"/>
        <v>7009.0000000000018</v>
      </c>
      <c r="I17" s="27">
        <f t="shared" si="1"/>
        <v>3590.0000000000009</v>
      </c>
      <c r="J17" s="27">
        <f t="shared" si="1"/>
        <v>5354.0000000000018</v>
      </c>
      <c r="K17" s="27">
        <f t="shared" si="1"/>
        <v>8570.0000000000018</v>
      </c>
    </row>
    <row r="18" spans="2:11" x14ac:dyDescent="0.25">
      <c r="B18" s="9" t="s">
        <v>205</v>
      </c>
      <c r="C18" s="15">
        <f t="shared" ref="C18:K18" si="2">IF(C7=0,0,C17/C7)</f>
        <v>0.45877551020408164</v>
      </c>
      <c r="D18" s="15">
        <f t="shared" si="2"/>
        <v>0.45616438356164385</v>
      </c>
      <c r="E18" s="15">
        <f t="shared" si="2"/>
        <v>0.46747826086956523</v>
      </c>
      <c r="F18" s="15">
        <f t="shared" si="2"/>
        <v>0.54371057513914667</v>
      </c>
      <c r="G18" s="15">
        <f t="shared" si="2"/>
        <v>0.54341220423412218</v>
      </c>
      <c r="H18" s="15">
        <f t="shared" si="2"/>
        <v>0.55407114624505938</v>
      </c>
      <c r="I18" s="15">
        <f t="shared" si="2"/>
        <v>0.60549839770618996</v>
      </c>
      <c r="J18" s="15">
        <f t="shared" si="2"/>
        <v>0.60613608060681545</v>
      </c>
      <c r="K18" s="15">
        <f t="shared" si="2"/>
        <v>0.61588214157384125</v>
      </c>
    </row>
    <row r="19" spans="2:11" x14ac:dyDescent="0.25">
      <c r="B19" s="9" t="s">
        <v>206</v>
      </c>
      <c r="C19" s="24">
        <f>C7*Допускания!$C$55</f>
        <v>392</v>
      </c>
      <c r="D19" s="24">
        <f>D7*Допускания!$C$55</f>
        <v>584</v>
      </c>
      <c r="E19" s="24">
        <f>E7*Допускания!$C$55</f>
        <v>920</v>
      </c>
      <c r="F19" s="24">
        <f>F7*Допускания!$C$55</f>
        <v>431.2</v>
      </c>
      <c r="G19" s="24">
        <f>G7*Допускания!$C$55</f>
        <v>642.40000000000009</v>
      </c>
      <c r="H19" s="24">
        <f>H7*Допускания!$C$55</f>
        <v>1012.0000000000001</v>
      </c>
      <c r="I19" s="24">
        <f>I7*Допускания!$C$55</f>
        <v>474.32000000000011</v>
      </c>
      <c r="J19" s="24">
        <f>J7*Допускания!$C$55</f>
        <v>706.64000000000021</v>
      </c>
      <c r="K19" s="24">
        <f>K7*Допускания!$C$55</f>
        <v>1113.2000000000003</v>
      </c>
    </row>
    <row r="20" spans="2:11" x14ac:dyDescent="0.25">
      <c r="B20" s="18" t="s">
        <v>207</v>
      </c>
      <c r="C20" s="19">
        <f t="shared" ref="C20:K20" si="3">C17-C19</f>
        <v>1856</v>
      </c>
      <c r="D20" s="19">
        <f t="shared" si="3"/>
        <v>2746</v>
      </c>
      <c r="E20" s="19">
        <f t="shared" si="3"/>
        <v>4456</v>
      </c>
      <c r="F20" s="19">
        <f t="shared" si="3"/>
        <v>2499.4000000000005</v>
      </c>
      <c r="G20" s="19">
        <f t="shared" si="3"/>
        <v>3721.2000000000012</v>
      </c>
      <c r="H20" s="19">
        <f t="shared" si="3"/>
        <v>5997.0000000000018</v>
      </c>
      <c r="I20" s="19">
        <f t="shared" si="3"/>
        <v>3115.6800000000007</v>
      </c>
      <c r="J20" s="19">
        <f t="shared" si="3"/>
        <v>4647.3600000000015</v>
      </c>
      <c r="K20" s="19">
        <f t="shared" si="3"/>
        <v>7456.8000000000011</v>
      </c>
    </row>
    <row r="21" spans="2:11" x14ac:dyDescent="0.25">
      <c r="B21" s="18" t="s">
        <v>208</v>
      </c>
      <c r="C21" s="28">
        <f t="shared" ref="C21:K21" si="4">IF(C7=0,0,C20/C7)</f>
        <v>0.37877551020408162</v>
      </c>
      <c r="D21" s="28">
        <f t="shared" si="4"/>
        <v>0.37616438356164383</v>
      </c>
      <c r="E21" s="28">
        <f t="shared" si="4"/>
        <v>0.38747826086956522</v>
      </c>
      <c r="F21" s="28">
        <f t="shared" si="4"/>
        <v>0.46371057513914665</v>
      </c>
      <c r="G21" s="28">
        <f t="shared" si="4"/>
        <v>0.46341220423412216</v>
      </c>
      <c r="H21" s="28">
        <f t="shared" si="4"/>
        <v>0.47407114624505936</v>
      </c>
      <c r="I21" s="28">
        <f t="shared" si="4"/>
        <v>0.52549839770619</v>
      </c>
      <c r="J21" s="28">
        <f t="shared" si="4"/>
        <v>0.52613608060681538</v>
      </c>
      <c r="K21" s="28">
        <f t="shared" si="4"/>
        <v>0.53588214157384118</v>
      </c>
    </row>
    <row r="23" spans="2:11" x14ac:dyDescent="0.25">
      <c r="B23" s="9" t="s">
        <v>209</v>
      </c>
      <c r="C23" s="25">
        <f>Допускания!$C$51*C15*Допускания!$C$54+Допускания!$C$51*Допускания!$C$52*Допускания!$C$53*C7</f>
        <v>310.99399999999997</v>
      </c>
      <c r="D23" s="25">
        <f>Допускания!$C$51*D15*Допускания!$C$54+Допускания!$C$51*Допускания!$C$52*Допускания!$C$53*D7</f>
        <v>464.68999999999994</v>
      </c>
      <c r="E23" s="25">
        <f>Допускания!$C$51*E15*Допускания!$C$54+Допускания!$C$51*Допускания!$C$52*Допускания!$C$53*E7</f>
        <v>722.67799999999988</v>
      </c>
      <c r="F23" s="25">
        <f>Допускания!$C$51*F15*Допускания!$C$54+Допускания!$C$51*Допускания!$C$52*Допускания!$C$53*F7</f>
        <v>309.13179999999994</v>
      </c>
      <c r="G23" s="25">
        <f>Допускания!$C$51*G15*Допускания!$C$54+Допускания!$C$51*Допускания!$C$52*Допускания!$C$53*G7</f>
        <v>460.7158</v>
      </c>
      <c r="H23" s="25">
        <f>Допускания!$C$51*H15*Допускания!$C$54+Допускания!$C$51*Допускания!$C$52*Допускания!$C$53*H7</f>
        <v>716.077</v>
      </c>
      <c r="I23" s="25">
        <f>Допускания!$C$51*I15*Допускания!$C$54+Допускания!$C$51*Допускания!$C$52*Допускания!$C$53*I7</f>
        <v>313.66849999999999</v>
      </c>
      <c r="J23" s="25">
        <f>Допускания!$C$51*J15*Допускания!$C$54+Допускания!$C$51*Допускания!$C$52*Допускания!$C$53*J7</f>
        <v>466.89650000000006</v>
      </c>
      <c r="K23" s="25">
        <f>Допускания!$C$51*K15*Допускания!$C$54+Допускания!$C$51*Допускания!$C$52*Допускания!$C$53*K7</f>
        <v>725.75749999999994</v>
      </c>
    </row>
    <row r="24" spans="2:11" x14ac:dyDescent="0.25">
      <c r="B24" s="6" t="s">
        <v>210</v>
      </c>
      <c r="C24" s="29">
        <f t="shared" ref="C24:K24" si="5">IF(C23=0,0,C19/C23)</f>
        <v>1.2604744786073043</v>
      </c>
      <c r="D24" s="29">
        <f t="shared" si="5"/>
        <v>1.2567518130366482</v>
      </c>
      <c r="E24" s="29">
        <f t="shared" si="5"/>
        <v>1.2730427659344827</v>
      </c>
      <c r="F24" s="29">
        <f t="shared" si="5"/>
        <v>1.3948742898660056</v>
      </c>
      <c r="G24" s="29">
        <f t="shared" si="5"/>
        <v>1.3943520061608481</v>
      </c>
      <c r="H24" s="29">
        <f t="shared" si="5"/>
        <v>1.4132558370119417</v>
      </c>
      <c r="I24" s="29">
        <f t="shared" si="5"/>
        <v>1.5121696950761716</v>
      </c>
      <c r="J24" s="29">
        <f t="shared" si="5"/>
        <v>1.513483180961948</v>
      </c>
      <c r="K24" s="29">
        <f t="shared" si="5"/>
        <v>1.5338456715914068</v>
      </c>
    </row>
    <row r="25" spans="2:11" x14ac:dyDescent="0.25">
      <c r="B25" s="3" t="s">
        <v>211</v>
      </c>
    </row>
    <row r="27" spans="2:11" x14ac:dyDescent="0.25">
      <c r="B27" s="26" t="s">
        <v>212</v>
      </c>
      <c r="C27" s="23" t="s">
        <v>67</v>
      </c>
      <c r="D27" s="23" t="s">
        <v>68</v>
      </c>
      <c r="E27" s="23" t="s">
        <v>69</v>
      </c>
    </row>
    <row r="28" spans="2:11" x14ac:dyDescent="0.25">
      <c r="B28" s="6" t="s">
        <v>213</v>
      </c>
      <c r="C28" s="27">
        <f>C7*Допускания!$F$12+D7*Допускания!$F$13+E7*Допускания!$F$14</f>
        <v>8770</v>
      </c>
      <c r="D28" s="27">
        <f>F7*Допускания!$F$12+G7*Допускания!$F$13+H7*Допускания!$F$14</f>
        <v>9647</v>
      </c>
      <c r="E28" s="27">
        <f>I7*Допускания!$F$12+J7*Допускания!$F$13+K7*Допускания!$F$14</f>
        <v>10611.7</v>
      </c>
    </row>
    <row r="29" spans="2:11" x14ac:dyDescent="0.25">
      <c r="B29" s="9" t="s">
        <v>214</v>
      </c>
      <c r="C29" s="25">
        <f>C15*Допускания!$F$12+D15*Допускания!$F$13+E15*Допускания!$F$14</f>
        <v>4723.8999999999996</v>
      </c>
      <c r="D29" s="25">
        <f>F15*Допускания!$F$12+G15*Допускания!$F$13+H15*Допускания!$F$14</f>
        <v>4357.51</v>
      </c>
      <c r="E29" s="25">
        <f>I15*Допускания!$F$12+J15*Допускания!$F$13+K15*Допускания!$F$14</f>
        <v>4132.0999999999995</v>
      </c>
    </row>
    <row r="30" spans="2:11" x14ac:dyDescent="0.25">
      <c r="B30" s="18" t="s">
        <v>215</v>
      </c>
      <c r="C30" s="19">
        <f>C17*Допускания!$F$12+D17*Допускания!$F$13+E17*Допускания!$F$14</f>
        <v>4046.1</v>
      </c>
      <c r="D30" s="19">
        <f>F17*Допускания!$F$12+G17*Допускания!$F$13+H17*Допускания!$F$14</f>
        <v>5289.4900000000016</v>
      </c>
      <c r="E30" s="19">
        <f>I17*Допускания!$F$12+J17*Допускания!$F$13+K17*Допускания!$F$14</f>
        <v>6479.6000000000022</v>
      </c>
    </row>
    <row r="31" spans="2:11" x14ac:dyDescent="0.25">
      <c r="B31" s="9" t="s">
        <v>216</v>
      </c>
      <c r="C31" s="25">
        <f>C23*Допускания!$F$12+D23*Допускания!$F$13+E23*Допускания!$F$14</f>
        <v>554.98579999999993</v>
      </c>
      <c r="D31" s="25">
        <f>F23*Допускания!$F$12+G23*Допускания!$F$13+H23*Допускания!$F$14</f>
        <v>550.09222</v>
      </c>
      <c r="E31" s="25">
        <f>I23*Допускания!$F$12+J23*Допускания!$F$13+K23*Допускания!$F$14</f>
        <v>557.49784999999997</v>
      </c>
    </row>
    <row r="32" spans="2:11" x14ac:dyDescent="0.25">
      <c r="B32" s="6" t="s">
        <v>217</v>
      </c>
      <c r="C32" s="30">
        <f>C6*Допускания!$F$12+D6*Допускания!$F$13+E6*Допускания!$F$14</f>
        <v>56.55</v>
      </c>
      <c r="D32" s="30">
        <f>F6*Допускания!$F$12+G6*Допускания!$F$13+H6*Допускания!$F$14</f>
        <v>56.55</v>
      </c>
      <c r="E32" s="30">
        <f>I6*Допускания!$F$12+J6*Допускания!$F$13+K6*Допускания!$F$14</f>
        <v>56.55</v>
      </c>
    </row>
    <row r="33" spans="2:5" x14ac:dyDescent="0.25">
      <c r="B33" s="6" t="s">
        <v>218</v>
      </c>
      <c r="C33" s="27">
        <f>(C13+C14)*Допускания!$F$12+(D13+D14)*Допускания!$F$13+(E13+E14)*Допускания!$F$14</f>
        <v>1444</v>
      </c>
      <c r="D33" s="27">
        <f>(F13+F14)*Допускания!$F$12+(G13+G14)*Допускания!$F$13+(H13+H14)*Допускания!$F$14</f>
        <v>1360.36</v>
      </c>
      <c r="E33" s="27">
        <f>(I13+I14)*Допускания!$F$12+(J13+J14)*Допускания!$F$13+(K13+K14)*Допускания!$F$14</f>
        <v>1304.5999999999999</v>
      </c>
    </row>
    <row r="35" spans="2:5" x14ac:dyDescent="0.25">
      <c r="B35" s="6" t="s">
        <v>219</v>
      </c>
      <c r="C35" s="27">
        <f>(Допускания!$C$42*Допускания!$D$42+Допускания!$C$43*Допускания!$D$43+Допускания!$C$44*Допускания!$D$44)*(1+Допускания!$C$16)^0</f>
        <v>2092.5</v>
      </c>
      <c r="D35" s="27">
        <f>(Допускания!$C$42*Допускания!$D$42+Допускания!$C$43*Допускания!$D$43+Допускания!$C$44*Допускания!$D$44)*(1+Допускания!$D$16)^1</f>
        <v>2301.75</v>
      </c>
      <c r="E35" s="27">
        <f>(Допускания!$C$42*Допускания!$D$42+Допускания!$C$43*Допускания!$D$43+Допускания!$C$44*Допускания!$D$44)*(1+Допускания!$E$16)^2</f>
        <v>2531.9250000000002</v>
      </c>
    </row>
    <row r="36" spans="2:5" x14ac:dyDescent="0.25">
      <c r="B36" s="6" t="s">
        <v>220</v>
      </c>
      <c r="C36" s="27">
        <f>Допускания!$C$42*Допускания!$E$42+Допускания!$C$43*Допускания!$E$43+Допускания!$C$44*Допускания!$E$44</f>
        <v>1198.25</v>
      </c>
      <c r="D36" s="27">
        <f>Допускания!$C$42*Допускания!$E$42+Допускания!$C$43*Допускания!$E$43+Допускания!$C$44*Допускания!$E$44</f>
        <v>1198.25</v>
      </c>
      <c r="E36" s="27">
        <f>Допускания!$C$42*Допускания!$E$42+Допускания!$C$43*Допускания!$E$43+Допускания!$C$44*Допускания!$E$44</f>
        <v>1198.25</v>
      </c>
    </row>
    <row r="37" spans="2:5" x14ac:dyDescent="0.25">
      <c r="B37" s="18" t="s">
        <v>221</v>
      </c>
      <c r="C37" s="19">
        <f>C35-C36</f>
        <v>894.25</v>
      </c>
      <c r="D37" s="19">
        <f>D35-D36</f>
        <v>1103.5</v>
      </c>
      <c r="E37" s="19">
        <f>E35-E36</f>
        <v>1333.6750000000002</v>
      </c>
    </row>
    <row r="39" spans="2:5" x14ac:dyDescent="0.25">
      <c r="B39" s="4" t="s">
        <v>222</v>
      </c>
    </row>
    <row r="40" spans="2:5" x14ac:dyDescent="0.25">
      <c r="B40" s="6" t="s">
        <v>223</v>
      </c>
      <c r="C40" s="27">
        <f>C28+C35</f>
        <v>10862.5</v>
      </c>
      <c r="D40" s="27">
        <f>D28+D35</f>
        <v>11948.75</v>
      </c>
      <c r="E40" s="27">
        <f>E28+E35</f>
        <v>13143.625</v>
      </c>
    </row>
    <row r="41" spans="2:5" x14ac:dyDescent="0.25">
      <c r="B41" s="18" t="s">
        <v>224</v>
      </c>
      <c r="C41" s="19">
        <f>C30+C37-C28*Допускания!$C$55</f>
        <v>4238.75</v>
      </c>
      <c r="D41" s="19">
        <f>D30+D37-D28*Допускания!$C$55</f>
        <v>5621.2300000000014</v>
      </c>
      <c r="E41" s="19">
        <f>E30+E37-E28*Допускания!$C$55</f>
        <v>6964.3390000000027</v>
      </c>
    </row>
    <row r="42" spans="2:5" x14ac:dyDescent="0.25">
      <c r="B42" s="6" t="s">
        <v>225</v>
      </c>
      <c r="C42" s="29">
        <f>IF(C40=0,0,C41/C40)</f>
        <v>0.39021864211737628</v>
      </c>
      <c r="D42" s="29">
        <f>IF(D40=0,0,D41/D40)</f>
        <v>0.47044502563029617</v>
      </c>
      <c r="E42" s="29">
        <f>IF(E40=0,0,E41/E40)</f>
        <v>0.52986440194390838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P13"/>
  <sheetViews>
    <sheetView zoomScaleNormal="100" workbookViewId="0">
      <selection activeCell="P12" sqref="P12"/>
    </sheetView>
  </sheetViews>
  <sheetFormatPr defaultColWidth="8.7109375" defaultRowHeight="15" x14ac:dyDescent="0.25"/>
  <cols>
    <col min="1" max="1" width="2" customWidth="1"/>
    <col min="2" max="2" width="40" customWidth="1"/>
    <col min="3" max="42" width="9" customWidth="1"/>
  </cols>
  <sheetData>
    <row r="1" spans="2:42" ht="18" x14ac:dyDescent="0.25">
      <c r="B1" s="2" t="s">
        <v>226</v>
      </c>
    </row>
    <row r="2" spans="2:42" x14ac:dyDescent="0.25">
      <c r="B2" s="3" t="s">
        <v>227</v>
      </c>
    </row>
    <row r="4" spans="2:42" x14ac:dyDescent="0.25">
      <c r="B4" s="6" t="s">
        <v>228</v>
      </c>
      <c r="C4" s="31">
        <v>1</v>
      </c>
      <c r="D4" s="31">
        <v>2</v>
      </c>
      <c r="E4" s="31">
        <v>3</v>
      </c>
      <c r="F4" s="31">
        <v>4</v>
      </c>
      <c r="G4" s="31">
        <v>5</v>
      </c>
      <c r="H4" s="31">
        <v>6</v>
      </c>
      <c r="I4" s="31">
        <v>7</v>
      </c>
      <c r="J4" s="31">
        <v>8</v>
      </c>
      <c r="K4" s="31">
        <v>9</v>
      </c>
      <c r="L4" s="31">
        <v>10</v>
      </c>
      <c r="M4" s="31">
        <v>11</v>
      </c>
      <c r="N4" s="31">
        <v>12</v>
      </c>
      <c r="O4" s="31">
        <v>13</v>
      </c>
      <c r="P4" s="31">
        <v>14</v>
      </c>
      <c r="Q4" s="31">
        <v>15</v>
      </c>
      <c r="R4" s="31">
        <v>16</v>
      </c>
      <c r="S4" s="31">
        <v>17</v>
      </c>
      <c r="T4" s="31">
        <v>18</v>
      </c>
      <c r="U4" s="31">
        <v>19</v>
      </c>
      <c r="V4" s="31">
        <v>20</v>
      </c>
      <c r="W4" s="31">
        <v>21</v>
      </c>
      <c r="X4" s="31">
        <v>22</v>
      </c>
      <c r="Y4" s="31">
        <v>23</v>
      </c>
      <c r="Z4" s="31">
        <v>24</v>
      </c>
      <c r="AA4" s="31">
        <v>25</v>
      </c>
      <c r="AB4" s="31">
        <v>26</v>
      </c>
      <c r="AC4" s="31">
        <v>27</v>
      </c>
      <c r="AD4" s="31">
        <v>28</v>
      </c>
      <c r="AE4" s="31">
        <v>29</v>
      </c>
      <c r="AF4" s="31">
        <v>30</v>
      </c>
      <c r="AG4" s="31">
        <v>31</v>
      </c>
      <c r="AH4" s="31">
        <v>32</v>
      </c>
      <c r="AI4" s="31">
        <v>33</v>
      </c>
      <c r="AJ4" s="31">
        <v>34</v>
      </c>
      <c r="AK4" s="31">
        <v>35</v>
      </c>
      <c r="AL4" s="31">
        <v>36</v>
      </c>
      <c r="AN4" s="32" t="s">
        <v>229</v>
      </c>
      <c r="AO4" s="32" t="s">
        <v>230</v>
      </c>
      <c r="AP4" s="32" t="s">
        <v>231</v>
      </c>
    </row>
    <row r="5" spans="2:42" x14ac:dyDescent="0.25">
      <c r="B5" s="6" t="s">
        <v>192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  <c r="K5" s="33">
        <v>1</v>
      </c>
      <c r="L5" s="33">
        <v>1</v>
      </c>
      <c r="M5" s="33">
        <v>1</v>
      </c>
      <c r="N5" s="33">
        <v>1</v>
      </c>
      <c r="O5" s="33">
        <v>2</v>
      </c>
      <c r="P5" s="33">
        <v>2</v>
      </c>
      <c r="Q5" s="33">
        <v>2</v>
      </c>
      <c r="R5" s="33">
        <v>2</v>
      </c>
      <c r="S5" s="33">
        <v>2</v>
      </c>
      <c r="T5" s="33">
        <v>2</v>
      </c>
      <c r="U5" s="33">
        <v>2</v>
      </c>
      <c r="V5" s="33">
        <v>2</v>
      </c>
      <c r="W5" s="33">
        <v>2</v>
      </c>
      <c r="X5" s="33">
        <v>2</v>
      </c>
      <c r="Y5" s="33">
        <v>2</v>
      </c>
      <c r="Z5" s="33">
        <v>2</v>
      </c>
      <c r="AA5" s="33">
        <v>3</v>
      </c>
      <c r="AB5" s="33">
        <v>3</v>
      </c>
      <c r="AC5" s="33">
        <v>3</v>
      </c>
      <c r="AD5" s="33">
        <v>3</v>
      </c>
      <c r="AE5" s="33">
        <v>3</v>
      </c>
      <c r="AF5" s="33">
        <v>3</v>
      </c>
      <c r="AG5" s="33">
        <v>3</v>
      </c>
      <c r="AH5" s="33">
        <v>3</v>
      </c>
      <c r="AI5" s="33">
        <v>3</v>
      </c>
      <c r="AJ5" s="33">
        <v>3</v>
      </c>
      <c r="AK5" s="33">
        <v>3</v>
      </c>
      <c r="AL5" s="33">
        <v>3</v>
      </c>
    </row>
    <row r="6" spans="2:42" x14ac:dyDescent="0.25">
      <c r="B6" s="6" t="s">
        <v>232</v>
      </c>
      <c r="C6" s="33">
        <v>1</v>
      </c>
      <c r="D6" s="33">
        <v>2</v>
      </c>
      <c r="E6" s="33">
        <v>3</v>
      </c>
      <c r="F6" s="33">
        <v>4</v>
      </c>
      <c r="G6" s="33">
        <v>5</v>
      </c>
      <c r="H6" s="33">
        <v>6</v>
      </c>
      <c r="I6" s="33">
        <v>7</v>
      </c>
      <c r="J6" s="33">
        <v>8</v>
      </c>
      <c r="K6" s="33">
        <v>9</v>
      </c>
      <c r="L6" s="33">
        <v>10</v>
      </c>
      <c r="M6" s="33">
        <v>11</v>
      </c>
      <c r="N6" s="33">
        <v>12</v>
      </c>
      <c r="O6" s="33">
        <v>1</v>
      </c>
      <c r="P6" s="33">
        <v>2</v>
      </c>
      <c r="Q6" s="33">
        <v>3</v>
      </c>
      <c r="R6" s="33">
        <v>4</v>
      </c>
      <c r="S6" s="33">
        <v>5</v>
      </c>
      <c r="T6" s="33">
        <v>6</v>
      </c>
      <c r="U6" s="33">
        <v>7</v>
      </c>
      <c r="V6" s="33">
        <v>8</v>
      </c>
      <c r="W6" s="33">
        <v>9</v>
      </c>
      <c r="X6" s="33">
        <v>10</v>
      </c>
      <c r="Y6" s="33">
        <v>11</v>
      </c>
      <c r="Z6" s="33">
        <v>12</v>
      </c>
      <c r="AA6" s="33">
        <v>1</v>
      </c>
      <c r="AB6" s="33">
        <v>2</v>
      </c>
      <c r="AC6" s="33">
        <v>3</v>
      </c>
      <c r="AD6" s="33">
        <v>4</v>
      </c>
      <c r="AE6" s="33">
        <v>5</v>
      </c>
      <c r="AF6" s="33">
        <v>6</v>
      </c>
      <c r="AG6" s="33">
        <v>7</v>
      </c>
      <c r="AH6" s="33">
        <v>8</v>
      </c>
      <c r="AI6" s="33">
        <v>9</v>
      </c>
      <c r="AJ6" s="33">
        <v>10</v>
      </c>
      <c r="AK6" s="33">
        <v>11</v>
      </c>
      <c r="AL6" s="33">
        <v>12</v>
      </c>
    </row>
    <row r="7" spans="2:42" x14ac:dyDescent="0.25">
      <c r="B7" s="9" t="s">
        <v>233</v>
      </c>
      <c r="C7" s="10">
        <f>INDEX(Допускания!$C$64:$N$64,1,C6)</f>
        <v>0.3</v>
      </c>
      <c r="D7" s="10">
        <f>INDEX(Допускания!$C$64:$N$64,1,D6)</f>
        <v>0.4</v>
      </c>
      <c r="E7" s="10">
        <f>INDEX(Допускания!$C$64:$N$64,1,E6)</f>
        <v>0.8</v>
      </c>
      <c r="F7" s="10">
        <f>INDEX(Допускания!$C$64:$N$64,1,F6)</f>
        <v>1</v>
      </c>
      <c r="G7" s="10">
        <f>INDEX(Допускания!$C$64:$N$64,1,G6)</f>
        <v>1.2</v>
      </c>
      <c r="H7" s="10">
        <f>INDEX(Допускания!$C$64:$N$64,1,H6)</f>
        <v>1.4</v>
      </c>
      <c r="I7" s="10">
        <f>INDEX(Допускания!$C$64:$N$64,1,I6)</f>
        <v>1.5</v>
      </c>
      <c r="J7" s="10">
        <f>INDEX(Допускания!$C$64:$N$64,1,J6)</f>
        <v>2</v>
      </c>
      <c r="K7" s="10">
        <f>INDEX(Допускания!$C$64:$N$64,1,K6)</f>
        <v>1.3</v>
      </c>
      <c r="L7" s="10">
        <f>INDEX(Допускания!$C$64:$N$64,1,L6)</f>
        <v>1.1000000000000001</v>
      </c>
      <c r="M7" s="10">
        <f>INDEX(Допускания!$C$64:$N$64,1,M6)</f>
        <v>0.7</v>
      </c>
      <c r="N7" s="10">
        <f>INDEX(Допускания!$C$64:$N$64,1,N6)</f>
        <v>0.3</v>
      </c>
      <c r="O7" s="10">
        <f>INDEX(Допускания!$C$64:$N$64,1,O6)</f>
        <v>0.3</v>
      </c>
      <c r="P7" s="10">
        <f>INDEX(Допускания!$C$64:$N$64,1,P6)</f>
        <v>0.4</v>
      </c>
      <c r="Q7" s="10">
        <f>INDEX(Допускания!$C$64:$N$64,1,Q6)</f>
        <v>0.8</v>
      </c>
      <c r="R7" s="10">
        <f>INDEX(Допускания!$C$64:$N$64,1,R6)</f>
        <v>1</v>
      </c>
      <c r="S7" s="10">
        <f>INDEX(Допускания!$C$64:$N$64,1,S6)</f>
        <v>1.2</v>
      </c>
      <c r="T7" s="10">
        <f>INDEX(Допускания!$C$64:$N$64,1,T6)</f>
        <v>1.4</v>
      </c>
      <c r="U7" s="10">
        <f>INDEX(Допускания!$C$64:$N$64,1,U6)</f>
        <v>1.5</v>
      </c>
      <c r="V7" s="10">
        <f>INDEX(Допускания!$C$64:$N$64,1,V6)</f>
        <v>2</v>
      </c>
      <c r="W7" s="10">
        <f>INDEX(Допускания!$C$64:$N$64,1,W6)</f>
        <v>1.3</v>
      </c>
      <c r="X7" s="10">
        <f>INDEX(Допускания!$C$64:$N$64,1,X6)</f>
        <v>1.1000000000000001</v>
      </c>
      <c r="Y7" s="10">
        <f>INDEX(Допускания!$C$64:$N$64,1,Y6)</f>
        <v>0.7</v>
      </c>
      <c r="Z7" s="10">
        <f>INDEX(Допускания!$C$64:$N$64,1,Z6)</f>
        <v>0.3</v>
      </c>
      <c r="AA7" s="10">
        <f>INDEX(Допускания!$C$64:$N$64,1,AA6)</f>
        <v>0.3</v>
      </c>
      <c r="AB7" s="10">
        <f>INDEX(Допускания!$C$64:$N$64,1,AB6)</f>
        <v>0.4</v>
      </c>
      <c r="AC7" s="10">
        <f>INDEX(Допускания!$C$64:$N$64,1,AC6)</f>
        <v>0.8</v>
      </c>
      <c r="AD7" s="10">
        <f>INDEX(Допускания!$C$64:$N$64,1,AD6)</f>
        <v>1</v>
      </c>
      <c r="AE7" s="10">
        <f>INDEX(Допускания!$C$64:$N$64,1,AE6)</f>
        <v>1.2</v>
      </c>
      <c r="AF7" s="10">
        <f>INDEX(Допускания!$C$64:$N$64,1,AF6)</f>
        <v>1.4</v>
      </c>
      <c r="AG7" s="10">
        <f>INDEX(Допускания!$C$64:$N$64,1,AG6)</f>
        <v>1.5</v>
      </c>
      <c r="AH7" s="10">
        <f>INDEX(Допускания!$C$64:$N$64,1,AH6)</f>
        <v>2</v>
      </c>
      <c r="AI7" s="10">
        <f>INDEX(Допускания!$C$64:$N$64,1,AI6)</f>
        <v>1.3</v>
      </c>
      <c r="AJ7" s="10">
        <f>INDEX(Допускания!$C$64:$N$64,1,AJ6)</f>
        <v>1.1000000000000001</v>
      </c>
      <c r="AK7" s="10">
        <f>INDEX(Допускания!$C$64:$N$64,1,AK6)</f>
        <v>0.7</v>
      </c>
      <c r="AL7" s="10">
        <f>INDEX(Допускания!$C$64:$N$64,1,AL6)</f>
        <v>0.3</v>
      </c>
    </row>
    <row r="8" spans="2:42" x14ac:dyDescent="0.25">
      <c r="B8" s="9" t="s">
        <v>234</v>
      </c>
      <c r="C8" s="24">
        <f>IF(C4&gt;=Допускания!$C$61,1,0)</f>
        <v>0</v>
      </c>
      <c r="D8" s="24">
        <f>IF(D4&gt;=Допускания!$C$61,1,0)</f>
        <v>0</v>
      </c>
      <c r="E8" s="24">
        <f>IF(E4&gt;=Допускания!$C$61,1,0)</f>
        <v>0</v>
      </c>
      <c r="F8" s="24">
        <f>IF(F4&gt;=Допускания!$C$61,1,0)</f>
        <v>1</v>
      </c>
      <c r="G8" s="24">
        <f>IF(G4&gt;=Допускания!$C$61,1,0)</f>
        <v>1</v>
      </c>
      <c r="H8" s="24">
        <f>IF(H4&gt;=Допускания!$C$61,1,0)</f>
        <v>1</v>
      </c>
      <c r="I8" s="24">
        <f>IF(I4&gt;=Допускания!$C$61,1,0)</f>
        <v>1</v>
      </c>
      <c r="J8" s="24">
        <f>IF(J4&gt;=Допускания!$C$61,1,0)</f>
        <v>1</v>
      </c>
      <c r="K8" s="24">
        <f>IF(K4&gt;=Допускания!$C$61,1,0)</f>
        <v>1</v>
      </c>
      <c r="L8" s="24">
        <f>IF(L4&gt;=Допускания!$C$61,1,0)</f>
        <v>1</v>
      </c>
      <c r="M8" s="24">
        <f>IF(M4&gt;=Допускания!$C$61,1,0)</f>
        <v>1</v>
      </c>
      <c r="N8" s="24">
        <f>IF(N4&gt;=Допускания!$C$61,1,0)</f>
        <v>1</v>
      </c>
      <c r="O8" s="24">
        <f>IF(O4&gt;=Допускания!$C$61,1,0)</f>
        <v>1</v>
      </c>
      <c r="P8" s="24">
        <f>IF(P4&gt;=Допускания!$C$61,1,0)</f>
        <v>1</v>
      </c>
      <c r="Q8" s="24">
        <f>IF(Q4&gt;=Допускания!$C$61,1,0)</f>
        <v>1</v>
      </c>
      <c r="R8" s="24">
        <f>IF(R4&gt;=Допускания!$C$61,1,0)</f>
        <v>1</v>
      </c>
      <c r="S8" s="24">
        <f>IF(S4&gt;=Допускания!$C$61,1,0)</f>
        <v>1</v>
      </c>
      <c r="T8" s="24">
        <f>IF(T4&gt;=Допускания!$C$61,1,0)</f>
        <v>1</v>
      </c>
      <c r="U8" s="24">
        <f>IF(U4&gt;=Допускания!$C$61,1,0)</f>
        <v>1</v>
      </c>
      <c r="V8" s="24">
        <f>IF(V4&gt;=Допускания!$C$61,1,0)</f>
        <v>1</v>
      </c>
      <c r="W8" s="24">
        <f>IF(W4&gt;=Допускания!$C$61,1,0)</f>
        <v>1</v>
      </c>
      <c r="X8" s="24">
        <f>IF(X4&gt;=Допускания!$C$61,1,0)</f>
        <v>1</v>
      </c>
      <c r="Y8" s="24">
        <f>IF(Y4&gt;=Допускания!$C$61,1,0)</f>
        <v>1</v>
      </c>
      <c r="Z8" s="24">
        <f>IF(Z4&gt;=Допускания!$C$61,1,0)</f>
        <v>1</v>
      </c>
      <c r="AA8" s="24">
        <f>IF(AA4&gt;=Допускания!$C$61,1,0)</f>
        <v>1</v>
      </c>
      <c r="AB8" s="24">
        <f>IF(AB4&gt;=Допускания!$C$61,1,0)</f>
        <v>1</v>
      </c>
      <c r="AC8" s="24">
        <f>IF(AC4&gt;=Допускания!$C$61,1,0)</f>
        <v>1</v>
      </c>
      <c r="AD8" s="24">
        <f>IF(AD4&gt;=Допускания!$C$61,1,0)</f>
        <v>1</v>
      </c>
      <c r="AE8" s="24">
        <f>IF(AE4&gt;=Допускания!$C$61,1,0)</f>
        <v>1</v>
      </c>
      <c r="AF8" s="24">
        <f>IF(AF4&gt;=Допускания!$C$61,1,0)</f>
        <v>1</v>
      </c>
      <c r="AG8" s="24">
        <f>IF(AG4&gt;=Допускания!$C$61,1,0)</f>
        <v>1</v>
      </c>
      <c r="AH8" s="24">
        <f>IF(AH4&gt;=Допускания!$C$61,1,0)</f>
        <v>1</v>
      </c>
      <c r="AI8" s="24">
        <f>IF(AI4&gt;=Допускания!$C$61,1,0)</f>
        <v>1</v>
      </c>
      <c r="AJ8" s="24">
        <f>IF(AJ4&gt;=Допускания!$C$61,1,0)</f>
        <v>1</v>
      </c>
      <c r="AK8" s="24">
        <f>IF(AK4&gt;=Допускания!$C$61,1,0)</f>
        <v>1</v>
      </c>
      <c r="AL8" s="24">
        <f>IF(AL4&gt;=Допускания!$C$61,1,0)</f>
        <v>1</v>
      </c>
    </row>
    <row r="9" spans="2:42" x14ac:dyDescent="0.25">
      <c r="B9" s="9" t="s">
        <v>235</v>
      </c>
      <c r="C9" s="22">
        <f t="shared" ref="C9:AL9" si="0">IF(C5=1,SUMPRODUCT($C$7:$N$7,$C$8:$N$8),IF(C5=2,SUMPRODUCT($O$7:$Z$7,$O$8:$Z$8),SUMPRODUCT($AA$7:$AL$7,$AA$8:$AL$8)))</f>
        <v>10.5</v>
      </c>
      <c r="D9" s="22">
        <f t="shared" si="0"/>
        <v>10.5</v>
      </c>
      <c r="E9" s="22">
        <f t="shared" si="0"/>
        <v>10.5</v>
      </c>
      <c r="F9" s="22">
        <f t="shared" si="0"/>
        <v>10.5</v>
      </c>
      <c r="G9" s="22">
        <f t="shared" si="0"/>
        <v>10.5</v>
      </c>
      <c r="H9" s="22">
        <f t="shared" si="0"/>
        <v>10.5</v>
      </c>
      <c r="I9" s="22">
        <f t="shared" si="0"/>
        <v>10.5</v>
      </c>
      <c r="J9" s="22">
        <f t="shared" si="0"/>
        <v>10.5</v>
      </c>
      <c r="K9" s="22">
        <f t="shared" si="0"/>
        <v>10.5</v>
      </c>
      <c r="L9" s="22">
        <f t="shared" si="0"/>
        <v>10.5</v>
      </c>
      <c r="M9" s="22">
        <f t="shared" si="0"/>
        <v>10.5</v>
      </c>
      <c r="N9" s="22">
        <f t="shared" si="0"/>
        <v>10.5</v>
      </c>
      <c r="O9" s="22">
        <f t="shared" si="0"/>
        <v>12</v>
      </c>
      <c r="P9" s="22">
        <f t="shared" si="0"/>
        <v>12</v>
      </c>
      <c r="Q9" s="22">
        <f t="shared" si="0"/>
        <v>12</v>
      </c>
      <c r="R9" s="22">
        <f t="shared" si="0"/>
        <v>12</v>
      </c>
      <c r="S9" s="22">
        <f t="shared" si="0"/>
        <v>12</v>
      </c>
      <c r="T9" s="22">
        <f t="shared" si="0"/>
        <v>12</v>
      </c>
      <c r="U9" s="22">
        <f t="shared" si="0"/>
        <v>12</v>
      </c>
      <c r="V9" s="22">
        <f t="shared" si="0"/>
        <v>12</v>
      </c>
      <c r="W9" s="22">
        <f t="shared" si="0"/>
        <v>12</v>
      </c>
      <c r="X9" s="22">
        <f t="shared" si="0"/>
        <v>12</v>
      </c>
      <c r="Y9" s="22">
        <f t="shared" si="0"/>
        <v>12</v>
      </c>
      <c r="Z9" s="22">
        <f t="shared" si="0"/>
        <v>12</v>
      </c>
      <c r="AA9" s="22">
        <f t="shared" si="0"/>
        <v>12</v>
      </c>
      <c r="AB9" s="22">
        <f t="shared" si="0"/>
        <v>12</v>
      </c>
      <c r="AC9" s="22">
        <f t="shared" si="0"/>
        <v>12</v>
      </c>
      <c r="AD9" s="22">
        <f t="shared" si="0"/>
        <v>12</v>
      </c>
      <c r="AE9" s="22">
        <f t="shared" si="0"/>
        <v>12</v>
      </c>
      <c r="AF9" s="22">
        <f t="shared" si="0"/>
        <v>12</v>
      </c>
      <c r="AG9" s="22">
        <f t="shared" si="0"/>
        <v>12</v>
      </c>
      <c r="AH9" s="22">
        <f t="shared" si="0"/>
        <v>12</v>
      </c>
      <c r="AI9" s="22">
        <f t="shared" si="0"/>
        <v>12</v>
      </c>
      <c r="AJ9" s="22">
        <f t="shared" si="0"/>
        <v>12</v>
      </c>
      <c r="AK9" s="22">
        <f t="shared" si="0"/>
        <v>12</v>
      </c>
      <c r="AL9" s="22">
        <f t="shared" si="0"/>
        <v>12</v>
      </c>
    </row>
    <row r="10" spans="2:42" x14ac:dyDescent="0.25">
      <c r="B10" s="9" t="s">
        <v>236</v>
      </c>
      <c r="C10" s="10">
        <f>IF(C5=1,Допускания!$C$60,IF(C5=2,Допускания!$D$60,Допускания!$E$60))*Допускания!$C$6</f>
        <v>26</v>
      </c>
      <c r="D10" s="10">
        <f>IF(D5=1,Допускания!$C$60,IF(D5=2,Допускания!$D$60,Допускания!$E$60))*Допускания!$C$6</f>
        <v>26</v>
      </c>
      <c r="E10" s="10">
        <f>IF(E5=1,Допускания!$C$60,IF(E5=2,Допускания!$D$60,Допускания!$E$60))*Допускания!$C$6</f>
        <v>26</v>
      </c>
      <c r="F10" s="10">
        <f>IF(F5=1,Допускания!$C$60,IF(F5=2,Допускания!$D$60,Допускания!$E$60))*Допускания!$C$6</f>
        <v>26</v>
      </c>
      <c r="G10" s="10">
        <f>IF(G5=1,Допускания!$C$60,IF(G5=2,Допускания!$D$60,Допускания!$E$60))*Допускания!$C$6</f>
        <v>26</v>
      </c>
      <c r="H10" s="10">
        <f>IF(H5=1,Допускания!$C$60,IF(H5=2,Допускания!$D$60,Допускания!$E$60))*Допускания!$C$6</f>
        <v>26</v>
      </c>
      <c r="I10" s="10">
        <f>IF(I5=1,Допускания!$C$60,IF(I5=2,Допускания!$D$60,Допускания!$E$60))*Допускания!$C$6</f>
        <v>26</v>
      </c>
      <c r="J10" s="10">
        <f>IF(J5=1,Допускания!$C$60,IF(J5=2,Допускания!$D$60,Допускания!$E$60))*Допускания!$C$6</f>
        <v>26</v>
      </c>
      <c r="K10" s="10">
        <f>IF(K5=1,Допускания!$C$60,IF(K5=2,Допускания!$D$60,Допускания!$E$60))*Допускания!$C$6</f>
        <v>26</v>
      </c>
      <c r="L10" s="10">
        <f>IF(L5=1,Допускания!$C$60,IF(L5=2,Допускания!$D$60,Допускания!$E$60))*Допускания!$C$6</f>
        <v>26</v>
      </c>
      <c r="M10" s="10">
        <f>IF(M5=1,Допускания!$C$60,IF(M5=2,Допускания!$D$60,Допускания!$E$60))*Допускания!$C$6</f>
        <v>26</v>
      </c>
      <c r="N10" s="10">
        <f>IF(N5=1,Допускания!$C$60,IF(N5=2,Допускания!$D$60,Допускания!$E$60))*Допускания!$C$6</f>
        <v>26</v>
      </c>
      <c r="O10" s="10">
        <f>IF(O5=1,Допускания!$C$60,IF(O5=2,Допускания!$D$60,Допускания!$E$60))*Допускания!$C$6</f>
        <v>35</v>
      </c>
      <c r="P10" s="10">
        <f>IF(P5=1,Допускания!$C$60,IF(P5=2,Допускания!$D$60,Допускания!$E$60))*Допускания!$C$6</f>
        <v>35</v>
      </c>
      <c r="Q10" s="10">
        <f>IF(Q5=1,Допускания!$C$60,IF(Q5=2,Допускания!$D$60,Допускания!$E$60))*Допускания!$C$6</f>
        <v>35</v>
      </c>
      <c r="R10" s="10">
        <f>IF(R5=1,Допускания!$C$60,IF(R5=2,Допускания!$D$60,Допускания!$E$60))*Допускания!$C$6</f>
        <v>35</v>
      </c>
      <c r="S10" s="10">
        <f>IF(S5=1,Допускания!$C$60,IF(S5=2,Допускания!$D$60,Допускания!$E$60))*Допускания!$C$6</f>
        <v>35</v>
      </c>
      <c r="T10" s="10">
        <f>IF(T5=1,Допускания!$C$60,IF(T5=2,Допускания!$D$60,Допускания!$E$60))*Допускания!$C$6</f>
        <v>35</v>
      </c>
      <c r="U10" s="10">
        <f>IF(U5=1,Допускания!$C$60,IF(U5=2,Допускания!$D$60,Допускания!$E$60))*Допускания!$C$6</f>
        <v>35</v>
      </c>
      <c r="V10" s="10">
        <f>IF(V5=1,Допускания!$C$60,IF(V5=2,Допускания!$D$60,Допускания!$E$60))*Допускания!$C$6</f>
        <v>35</v>
      </c>
      <c r="W10" s="10">
        <f>IF(W5=1,Допускания!$C$60,IF(W5=2,Допускания!$D$60,Допускания!$E$60))*Допускания!$C$6</f>
        <v>35</v>
      </c>
      <c r="X10" s="10">
        <f>IF(X5=1,Допускания!$C$60,IF(X5=2,Допускания!$D$60,Допускания!$E$60))*Допускания!$C$6</f>
        <v>35</v>
      </c>
      <c r="Y10" s="10">
        <f>IF(Y5=1,Допускания!$C$60,IF(Y5=2,Допускания!$D$60,Допускания!$E$60))*Допускания!$C$6</f>
        <v>35</v>
      </c>
      <c r="Z10" s="10">
        <f>IF(Z5=1,Допускания!$C$60,IF(Z5=2,Допускания!$D$60,Допускания!$E$60))*Допускания!$C$6</f>
        <v>35</v>
      </c>
      <c r="AA10" s="10">
        <f>IF(AA5=1,Допускания!$C$60,IF(AA5=2,Допускания!$D$60,Допускания!$E$60))*Допускания!$C$6</f>
        <v>50</v>
      </c>
      <c r="AB10" s="10">
        <f>IF(AB5=1,Допускания!$C$60,IF(AB5=2,Допускания!$D$60,Допускания!$E$60))*Допускания!$C$6</f>
        <v>50</v>
      </c>
      <c r="AC10" s="10">
        <f>IF(AC5=1,Допускания!$C$60,IF(AC5=2,Допускания!$D$60,Допускания!$E$60))*Допускания!$C$6</f>
        <v>50</v>
      </c>
      <c r="AD10" s="10">
        <f>IF(AD5=1,Допускания!$C$60,IF(AD5=2,Допускания!$D$60,Допускания!$E$60))*Допускания!$C$6</f>
        <v>50</v>
      </c>
      <c r="AE10" s="10">
        <f>IF(AE5=1,Допускания!$C$60,IF(AE5=2,Допускания!$D$60,Допускания!$E$60))*Допускания!$C$6</f>
        <v>50</v>
      </c>
      <c r="AF10" s="10">
        <f>IF(AF5=1,Допускания!$C$60,IF(AF5=2,Допускания!$D$60,Допускания!$E$60))*Допускания!$C$6</f>
        <v>50</v>
      </c>
      <c r="AG10" s="10">
        <f>IF(AG5=1,Допускания!$C$60,IF(AG5=2,Допускания!$D$60,Допускания!$E$60))*Допускания!$C$6</f>
        <v>50</v>
      </c>
      <c r="AH10" s="10">
        <f>IF(AH5=1,Допускания!$C$60,IF(AH5=2,Допускания!$D$60,Допускания!$E$60))*Допускания!$C$6</f>
        <v>50</v>
      </c>
      <c r="AI10" s="10">
        <f>IF(AI5=1,Допускания!$C$60,IF(AI5=2,Допускания!$D$60,Допускания!$E$60))*Допускания!$C$6</f>
        <v>50</v>
      </c>
      <c r="AJ10" s="10">
        <f>IF(AJ5=1,Допускания!$C$60,IF(AJ5=2,Допускания!$D$60,Допускания!$E$60))*Допускания!$C$6</f>
        <v>50</v>
      </c>
      <c r="AK10" s="10">
        <f>IF(AK5=1,Допускания!$C$60,IF(AK5=2,Допускания!$D$60,Допускания!$E$60))*Допускания!$C$6</f>
        <v>50</v>
      </c>
      <c r="AL10" s="10">
        <f>IF(AL5=1,Допускания!$C$60,IF(AL5=2,Допускания!$D$60,Допускания!$E$60))*Допускания!$C$6</f>
        <v>50</v>
      </c>
    </row>
    <row r="11" spans="2:42" x14ac:dyDescent="0.25">
      <c r="B11" s="18" t="s">
        <v>237</v>
      </c>
      <c r="C11" s="34">
        <f t="shared" ref="C11:AL11" si="1">IF(C9=0,0,C10*C7*C8/C9)</f>
        <v>0</v>
      </c>
      <c r="D11" s="34">
        <f t="shared" si="1"/>
        <v>0</v>
      </c>
      <c r="E11" s="34">
        <f t="shared" si="1"/>
        <v>0</v>
      </c>
      <c r="F11" s="34">
        <f t="shared" si="1"/>
        <v>2.4761904761904763</v>
      </c>
      <c r="G11" s="34">
        <f t="shared" si="1"/>
        <v>2.9714285714285715</v>
      </c>
      <c r="H11" s="34">
        <f t="shared" si="1"/>
        <v>3.4666666666666663</v>
      </c>
      <c r="I11" s="34">
        <f t="shared" si="1"/>
        <v>3.7142857142857144</v>
      </c>
      <c r="J11" s="34">
        <f t="shared" si="1"/>
        <v>4.9523809523809526</v>
      </c>
      <c r="K11" s="34">
        <f t="shared" si="1"/>
        <v>3.2190476190476196</v>
      </c>
      <c r="L11" s="34">
        <f t="shared" si="1"/>
        <v>2.7238095238095239</v>
      </c>
      <c r="M11" s="34">
        <f t="shared" si="1"/>
        <v>1.7333333333333332</v>
      </c>
      <c r="N11" s="34">
        <f t="shared" si="1"/>
        <v>0.74285714285714288</v>
      </c>
      <c r="O11" s="34">
        <f t="shared" si="1"/>
        <v>0.875</v>
      </c>
      <c r="P11" s="34">
        <f t="shared" si="1"/>
        <v>1.1666666666666667</v>
      </c>
      <c r="Q11" s="34">
        <f t="shared" si="1"/>
        <v>2.3333333333333335</v>
      </c>
      <c r="R11" s="34">
        <f t="shared" si="1"/>
        <v>2.9166666666666665</v>
      </c>
      <c r="S11" s="34">
        <f t="shared" si="1"/>
        <v>3.5</v>
      </c>
      <c r="T11" s="34">
        <f t="shared" si="1"/>
        <v>4.083333333333333</v>
      </c>
      <c r="U11" s="34">
        <f t="shared" si="1"/>
        <v>4.375</v>
      </c>
      <c r="V11" s="34">
        <f t="shared" si="1"/>
        <v>5.833333333333333</v>
      </c>
      <c r="W11" s="34">
        <f t="shared" si="1"/>
        <v>3.7916666666666665</v>
      </c>
      <c r="X11" s="34">
        <f t="shared" si="1"/>
        <v>3.2083333333333335</v>
      </c>
      <c r="Y11" s="34">
        <f t="shared" si="1"/>
        <v>2.0416666666666665</v>
      </c>
      <c r="Z11" s="34">
        <f t="shared" si="1"/>
        <v>0.875</v>
      </c>
      <c r="AA11" s="34">
        <f t="shared" si="1"/>
        <v>1.25</v>
      </c>
      <c r="AB11" s="34">
        <f t="shared" si="1"/>
        <v>1.6666666666666667</v>
      </c>
      <c r="AC11" s="34">
        <f t="shared" si="1"/>
        <v>3.3333333333333335</v>
      </c>
      <c r="AD11" s="34">
        <f t="shared" si="1"/>
        <v>4.166666666666667</v>
      </c>
      <c r="AE11" s="34">
        <f t="shared" si="1"/>
        <v>5</v>
      </c>
      <c r="AF11" s="34">
        <f t="shared" si="1"/>
        <v>5.833333333333333</v>
      </c>
      <c r="AG11" s="34">
        <f t="shared" si="1"/>
        <v>6.25</v>
      </c>
      <c r="AH11" s="34">
        <f t="shared" si="1"/>
        <v>8.3333333333333339</v>
      </c>
      <c r="AI11" s="34">
        <f t="shared" si="1"/>
        <v>5.416666666666667</v>
      </c>
      <c r="AJ11" s="34">
        <f t="shared" si="1"/>
        <v>4.5833333333333339</v>
      </c>
      <c r="AK11" s="34">
        <f t="shared" si="1"/>
        <v>2.9166666666666665</v>
      </c>
      <c r="AL11" s="34">
        <f t="shared" si="1"/>
        <v>1.25</v>
      </c>
      <c r="AN11" s="34">
        <f>SUM(C11:N11)</f>
        <v>26.000000000000004</v>
      </c>
      <c r="AO11" s="34">
        <f>SUM(O11:Z11)</f>
        <v>35</v>
      </c>
      <c r="AP11" s="34">
        <f>SUM(AA11:AL11)</f>
        <v>50</v>
      </c>
    </row>
    <row r="12" spans="2:42" x14ac:dyDescent="0.25">
      <c r="B12" s="9" t="s">
        <v>238</v>
      </c>
      <c r="C12" s="10">
        <f>C11*IF(C5=1,Пакети!$C$32,IF(C5=2,Пакети!$D$32,Пакети!$E$32))</f>
        <v>0</v>
      </c>
      <c r="D12" s="10">
        <f>D11*IF(D5=1,Пакети!$C$32,IF(D5=2,Пакети!$D$32,Пакети!$E$32))</f>
        <v>0</v>
      </c>
      <c r="E12" s="10">
        <f>E11*IF(E5=1,Пакети!$C$32,IF(E5=2,Пакети!$D$32,Пакети!$E$32))</f>
        <v>0</v>
      </c>
      <c r="F12" s="10">
        <f>F11*IF(F5=1,Пакети!$C$32,IF(F5=2,Пакети!$D$32,Пакети!$E$32))</f>
        <v>140.02857142857144</v>
      </c>
      <c r="G12" s="10">
        <f>G11*IF(G5=1,Пакети!$C$32,IF(G5=2,Пакети!$D$32,Пакети!$E$32))</f>
        <v>168.03428571428572</v>
      </c>
      <c r="H12" s="10">
        <f>H11*IF(H5=1,Пакети!$C$32,IF(H5=2,Пакети!$D$32,Пакети!$E$32))</f>
        <v>196.03999999999996</v>
      </c>
      <c r="I12" s="10">
        <f>I11*IF(I5=1,Пакети!$C$32,IF(I5=2,Пакети!$D$32,Пакети!$E$32))</f>
        <v>210.04285714285714</v>
      </c>
      <c r="J12" s="10">
        <f>J11*IF(J5=1,Пакети!$C$32,IF(J5=2,Пакети!$D$32,Пакети!$E$32))</f>
        <v>280.05714285714288</v>
      </c>
      <c r="K12" s="10">
        <f>K11*IF(K5=1,Пакети!$C$32,IF(K5=2,Пакети!$D$32,Пакети!$E$32))</f>
        <v>182.03714285714287</v>
      </c>
      <c r="L12" s="10">
        <f>L11*IF(L5=1,Пакети!$C$32,IF(L5=2,Пакети!$D$32,Пакети!$E$32))</f>
        <v>154.03142857142856</v>
      </c>
      <c r="M12" s="10">
        <f>M11*IF(M5=1,Пакети!$C$32,IF(M5=2,Пакети!$D$32,Пакети!$E$32))</f>
        <v>98.019999999999982</v>
      </c>
      <c r="N12" s="10">
        <f>N11*IF(N5=1,Пакети!$C$32,IF(N5=2,Пакети!$D$32,Пакети!$E$32))</f>
        <v>42.008571428571429</v>
      </c>
      <c r="O12" s="10">
        <f>O11*IF(O5=1,Пакети!$C$32,IF(O5=2,Пакети!$D$32,Пакети!$E$32))</f>
        <v>49.481249999999996</v>
      </c>
      <c r="P12" s="10">
        <f>P11*IF(P5=1,Пакети!$C$32,IF(P5=2,Пакети!$D$32,Пакети!$E$32))</f>
        <v>65.974999999999994</v>
      </c>
      <c r="Q12" s="10">
        <f>Q11*IF(Q5=1,Пакети!$C$32,IF(Q5=2,Пакети!$D$32,Пакети!$E$32))</f>
        <v>131.94999999999999</v>
      </c>
      <c r="R12" s="10">
        <f>R11*IF(R5=1,Пакети!$C$32,IF(R5=2,Пакети!$D$32,Пакети!$E$32))</f>
        <v>164.93749999999997</v>
      </c>
      <c r="S12" s="10">
        <f>S11*IF(S5=1,Пакети!$C$32,IF(S5=2,Пакети!$D$32,Пакети!$E$32))</f>
        <v>197.92499999999998</v>
      </c>
      <c r="T12" s="10">
        <f>T11*IF(T5=1,Пакети!$C$32,IF(T5=2,Пакети!$D$32,Пакети!$E$32))</f>
        <v>230.91249999999997</v>
      </c>
      <c r="U12" s="10">
        <f>U11*IF(U5=1,Пакети!$C$32,IF(U5=2,Пакети!$D$32,Пакети!$E$32))</f>
        <v>247.40625</v>
      </c>
      <c r="V12" s="10">
        <f>V11*IF(V5=1,Пакети!$C$32,IF(V5=2,Пакети!$D$32,Пакети!$E$32))</f>
        <v>329.87499999999994</v>
      </c>
      <c r="W12" s="10">
        <f>W11*IF(W5=1,Пакети!$C$32,IF(W5=2,Пакети!$D$32,Пакети!$E$32))</f>
        <v>214.41874999999999</v>
      </c>
      <c r="X12" s="10">
        <f>X11*IF(X5=1,Пакети!$C$32,IF(X5=2,Пакети!$D$32,Пакети!$E$32))</f>
        <v>181.43125000000001</v>
      </c>
      <c r="Y12" s="10">
        <f>Y11*IF(Y5=1,Пакети!$C$32,IF(Y5=2,Пакети!$D$32,Пакети!$E$32))</f>
        <v>115.45624999999998</v>
      </c>
      <c r="Z12" s="10">
        <f>Z11*IF(Z5=1,Пакети!$C$32,IF(Z5=2,Пакети!$D$32,Пакети!$E$32))</f>
        <v>49.481249999999996</v>
      </c>
      <c r="AA12" s="10">
        <f>AA11*IF(AA5=1,Пакети!$C$32,IF(AA5=2,Пакети!$D$32,Пакети!$E$32))</f>
        <v>70.6875</v>
      </c>
      <c r="AB12" s="10">
        <f>AB11*IF(AB5=1,Пакети!$C$32,IF(AB5=2,Пакети!$D$32,Пакети!$E$32))</f>
        <v>94.25</v>
      </c>
      <c r="AC12" s="10">
        <f>AC11*IF(AC5=1,Пакети!$C$32,IF(AC5=2,Пакети!$D$32,Пакети!$E$32))</f>
        <v>188.5</v>
      </c>
      <c r="AD12" s="10">
        <f>AD11*IF(AD5=1,Пакети!$C$32,IF(AD5=2,Пакети!$D$32,Пакети!$E$32))</f>
        <v>235.625</v>
      </c>
      <c r="AE12" s="10">
        <f>AE11*IF(AE5=1,Пакети!$C$32,IF(AE5=2,Пакети!$D$32,Пакети!$E$32))</f>
        <v>282.75</v>
      </c>
      <c r="AF12" s="10">
        <f>AF11*IF(AF5=1,Пакети!$C$32,IF(AF5=2,Пакети!$D$32,Пакети!$E$32))</f>
        <v>329.87499999999994</v>
      </c>
      <c r="AG12" s="10">
        <f>AG11*IF(AG5=1,Пакети!$C$32,IF(AG5=2,Пакети!$D$32,Пакети!$E$32))</f>
        <v>353.4375</v>
      </c>
      <c r="AH12" s="10">
        <f>AH11*IF(AH5=1,Пакети!$C$32,IF(AH5=2,Пакети!$D$32,Пакети!$E$32))</f>
        <v>471.25</v>
      </c>
      <c r="AI12" s="10">
        <f>AI11*IF(AI5=1,Пакети!$C$32,IF(AI5=2,Пакети!$D$32,Пакети!$E$32))</f>
        <v>306.3125</v>
      </c>
      <c r="AJ12" s="10">
        <f>AJ11*IF(AJ5=1,Пакети!$C$32,IF(AJ5=2,Пакети!$D$32,Пакети!$E$32))</f>
        <v>259.1875</v>
      </c>
      <c r="AK12" s="10">
        <f>AK11*IF(AK5=1,Пакети!$C$32,IF(AK5=2,Пакети!$D$32,Пакети!$E$32))</f>
        <v>164.93749999999997</v>
      </c>
      <c r="AL12" s="10">
        <f>AL11*IF(AL5=1,Пакети!$C$32,IF(AL5=2,Пакети!$D$32,Пакети!$E$32))</f>
        <v>70.6875</v>
      </c>
      <c r="AN12" s="19">
        <f>SUM(C12:N12)</f>
        <v>1470.3000000000002</v>
      </c>
      <c r="AO12" s="19">
        <f>SUM(O12:Z12)</f>
        <v>1979.25</v>
      </c>
      <c r="AP12" s="19">
        <f>SUM(AA12:AL12)</f>
        <v>2827.5</v>
      </c>
    </row>
    <row r="13" spans="2:42" x14ac:dyDescent="0.25">
      <c r="B13" s="9" t="s">
        <v>239</v>
      </c>
      <c r="C13" s="10">
        <f>C11/(1-Допускания!$C$56)</f>
        <v>0</v>
      </c>
      <c r="D13" s="10">
        <f>D11/(1-Допускания!$C$56)</f>
        <v>0</v>
      </c>
      <c r="E13" s="10">
        <f>E11/(1-Допускания!$C$56)</f>
        <v>0</v>
      </c>
      <c r="F13" s="10">
        <f>F11/(1-Допускания!$C$56)</f>
        <v>3.3015873015873018</v>
      </c>
      <c r="G13" s="10">
        <f>G11/(1-Допускания!$C$56)</f>
        <v>3.961904761904762</v>
      </c>
      <c r="H13" s="10">
        <f>H11/(1-Допускания!$C$56)</f>
        <v>4.6222222222222218</v>
      </c>
      <c r="I13" s="10">
        <f>I11/(1-Допускания!$C$56)</f>
        <v>4.9523809523809526</v>
      </c>
      <c r="J13" s="10">
        <f>J11/(1-Допускания!$C$56)</f>
        <v>6.6031746031746037</v>
      </c>
      <c r="K13" s="10">
        <f>K11/(1-Допускания!$C$56)</f>
        <v>4.2920634920634928</v>
      </c>
      <c r="L13" s="10">
        <f>L11/(1-Допускания!$C$56)</f>
        <v>3.6317460317460317</v>
      </c>
      <c r="M13" s="10">
        <f>M11/(1-Допускания!$C$56)</f>
        <v>2.3111111111111109</v>
      </c>
      <c r="N13" s="10">
        <f>N11/(1-Допускания!$C$56)</f>
        <v>0.99047619047619051</v>
      </c>
      <c r="O13" s="10">
        <f>O11/(1-Допускания!$C$56)</f>
        <v>1.1666666666666667</v>
      </c>
      <c r="P13" s="10">
        <f>P11/(1-Допускания!$C$56)</f>
        <v>1.5555555555555556</v>
      </c>
      <c r="Q13" s="10">
        <f>Q11/(1-Допускания!$C$56)</f>
        <v>3.1111111111111112</v>
      </c>
      <c r="R13" s="10">
        <f>R11/(1-Допускания!$C$56)</f>
        <v>3.8888888888888888</v>
      </c>
      <c r="S13" s="10">
        <f>S11/(1-Допускания!$C$56)</f>
        <v>4.666666666666667</v>
      </c>
      <c r="T13" s="10">
        <f>T11/(1-Допускания!$C$56)</f>
        <v>5.4444444444444438</v>
      </c>
      <c r="U13" s="10">
        <f>U11/(1-Допускания!$C$56)</f>
        <v>5.833333333333333</v>
      </c>
      <c r="V13" s="10">
        <f>V11/(1-Допускания!$C$56)</f>
        <v>7.7777777777777777</v>
      </c>
      <c r="W13" s="10">
        <f>W11/(1-Допускания!$C$56)</f>
        <v>5.0555555555555554</v>
      </c>
      <c r="X13" s="10">
        <f>X11/(1-Допускания!$C$56)</f>
        <v>4.2777777777777777</v>
      </c>
      <c r="Y13" s="10">
        <f>Y11/(1-Допускания!$C$56)</f>
        <v>2.7222222222222219</v>
      </c>
      <c r="Z13" s="10">
        <f>Z11/(1-Допускания!$C$56)</f>
        <v>1.1666666666666667</v>
      </c>
      <c r="AA13" s="10">
        <f>AA11/(1-Допускания!$C$56)</f>
        <v>1.6666666666666667</v>
      </c>
      <c r="AB13" s="10">
        <f>AB11/(1-Допускания!$C$56)</f>
        <v>2.2222222222222223</v>
      </c>
      <c r="AC13" s="10">
        <f>AC11/(1-Допускания!$C$56)</f>
        <v>4.4444444444444446</v>
      </c>
      <c r="AD13" s="10">
        <f>AD11/(1-Допускания!$C$56)</f>
        <v>5.5555555555555562</v>
      </c>
      <c r="AE13" s="10">
        <f>AE11/(1-Допускания!$C$56)</f>
        <v>6.666666666666667</v>
      </c>
      <c r="AF13" s="10">
        <f>AF11/(1-Допускания!$C$56)</f>
        <v>7.7777777777777777</v>
      </c>
      <c r="AG13" s="10">
        <f>AG11/(1-Допускания!$C$56)</f>
        <v>8.3333333333333339</v>
      </c>
      <c r="AH13" s="10">
        <f>AH11/(1-Допускания!$C$56)</f>
        <v>11.111111111111112</v>
      </c>
      <c r="AI13" s="10">
        <f>AI11/(1-Допускания!$C$56)</f>
        <v>7.2222222222222223</v>
      </c>
      <c r="AJ13" s="10">
        <f>AJ11/(1-Допускания!$C$56)</f>
        <v>6.1111111111111116</v>
      </c>
      <c r="AK13" s="10">
        <f>AK11/(1-Допускания!$C$56)</f>
        <v>3.8888888888888888</v>
      </c>
      <c r="AL13" s="10">
        <f>AL11/(1-Допускания!$C$56)</f>
        <v>1.6666666666666667</v>
      </c>
      <c r="AN13" s="34">
        <f>SUM(C13:N13)</f>
        <v>34.666666666666671</v>
      </c>
      <c r="AO13" s="34">
        <f>SUM(O13:Z13)</f>
        <v>46.666666666666664</v>
      </c>
      <c r="AP13" s="34">
        <f>SUM(AA13:AL13)</f>
        <v>66.666666666666686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P35"/>
  <sheetViews>
    <sheetView zoomScaleNormal="100" workbookViewId="0">
      <selection activeCell="F34" sqref="F34"/>
    </sheetView>
  </sheetViews>
  <sheetFormatPr defaultColWidth="8.7109375" defaultRowHeight="15" x14ac:dyDescent="0.25"/>
  <cols>
    <col min="1" max="1" width="2" customWidth="1"/>
    <col min="2" max="2" width="42" customWidth="1"/>
    <col min="3" max="42" width="10" customWidth="1"/>
  </cols>
  <sheetData>
    <row r="1" spans="2:42" ht="18" x14ac:dyDescent="0.25">
      <c r="B1" s="2" t="s">
        <v>240</v>
      </c>
    </row>
    <row r="2" spans="2:42" x14ac:dyDescent="0.25">
      <c r="B2" s="3" t="s">
        <v>241</v>
      </c>
    </row>
    <row r="4" spans="2:42" x14ac:dyDescent="0.25">
      <c r="B4" s="6" t="s">
        <v>228</v>
      </c>
      <c r="C4" s="31">
        <f>Обеми!C4</f>
        <v>1</v>
      </c>
      <c r="D4" s="31">
        <f>Обеми!D4</f>
        <v>2</v>
      </c>
      <c r="E4" s="31">
        <f>Обеми!E4</f>
        <v>3</v>
      </c>
      <c r="F4" s="31">
        <f>Обеми!F4</f>
        <v>4</v>
      </c>
      <c r="G4" s="31">
        <f>Обеми!G4</f>
        <v>5</v>
      </c>
      <c r="H4" s="31">
        <f>Обеми!H4</f>
        <v>6</v>
      </c>
      <c r="I4" s="31">
        <f>Обеми!I4</f>
        <v>7</v>
      </c>
      <c r="J4" s="31">
        <f>Обеми!J4</f>
        <v>8</v>
      </c>
      <c r="K4" s="31">
        <f>Обеми!K4</f>
        <v>9</v>
      </c>
      <c r="L4" s="31">
        <f>Обеми!L4</f>
        <v>10</v>
      </c>
      <c r="M4" s="31">
        <f>Обеми!M4</f>
        <v>11</v>
      </c>
      <c r="N4" s="31">
        <f>Обеми!N4</f>
        <v>12</v>
      </c>
      <c r="O4" s="31">
        <f>Обеми!O4</f>
        <v>13</v>
      </c>
      <c r="P4" s="31">
        <f>Обеми!P4</f>
        <v>14</v>
      </c>
      <c r="Q4" s="31">
        <f>Обеми!Q4</f>
        <v>15</v>
      </c>
      <c r="R4" s="31">
        <f>Обеми!R4</f>
        <v>16</v>
      </c>
      <c r="S4" s="31">
        <f>Обеми!S4</f>
        <v>17</v>
      </c>
      <c r="T4" s="31">
        <f>Обеми!T4</f>
        <v>18</v>
      </c>
      <c r="U4" s="31">
        <f>Обеми!U4</f>
        <v>19</v>
      </c>
      <c r="V4" s="31">
        <f>Обеми!V4</f>
        <v>20</v>
      </c>
      <c r="W4" s="31">
        <f>Обеми!W4</f>
        <v>21</v>
      </c>
      <c r="X4" s="31">
        <f>Обеми!X4</f>
        <v>22</v>
      </c>
      <c r="Y4" s="31">
        <f>Обеми!Y4</f>
        <v>23</v>
      </c>
      <c r="Z4" s="31">
        <f>Обеми!Z4</f>
        <v>24</v>
      </c>
      <c r="AA4" s="31">
        <f>Обеми!AA4</f>
        <v>25</v>
      </c>
      <c r="AB4" s="31">
        <f>Обеми!AB4</f>
        <v>26</v>
      </c>
      <c r="AC4" s="31">
        <f>Обеми!AC4</f>
        <v>27</v>
      </c>
      <c r="AD4" s="31">
        <f>Обеми!AD4</f>
        <v>28</v>
      </c>
      <c r="AE4" s="31">
        <f>Обеми!AE4</f>
        <v>29</v>
      </c>
      <c r="AF4" s="31">
        <f>Обеми!AF4</f>
        <v>30</v>
      </c>
      <c r="AG4" s="31">
        <f>Обеми!AG4</f>
        <v>31</v>
      </c>
      <c r="AH4" s="31">
        <f>Обеми!AH4</f>
        <v>32</v>
      </c>
      <c r="AI4" s="31">
        <f>Обеми!AI4</f>
        <v>33</v>
      </c>
      <c r="AJ4" s="31">
        <f>Обеми!AJ4</f>
        <v>34</v>
      </c>
      <c r="AK4" s="31">
        <f>Обеми!AK4</f>
        <v>35</v>
      </c>
      <c r="AL4" s="31">
        <f>Обеми!AL4</f>
        <v>36</v>
      </c>
      <c r="AN4" s="32" t="s">
        <v>67</v>
      </c>
      <c r="AO4" s="32" t="s">
        <v>68</v>
      </c>
      <c r="AP4" s="32" t="s">
        <v>69</v>
      </c>
    </row>
    <row r="5" spans="2:42" x14ac:dyDescent="0.25">
      <c r="B5" s="4" t="s">
        <v>242</v>
      </c>
    </row>
    <row r="6" spans="2:42" x14ac:dyDescent="0.25">
      <c r="B6" s="9" t="s">
        <v>243</v>
      </c>
      <c r="C6" s="25">
        <f>Обеми!C11*IF(Обеми!C$5=1,Пакети!$C$28,IF(Обеми!C$5=2,Пакети!$D$28,Пакети!$E$28))</f>
        <v>0</v>
      </c>
      <c r="D6" s="25">
        <f>Обеми!D11*IF(Обеми!D$5=1,Пакети!$C$28,IF(Обеми!D$5=2,Пакети!$D$28,Пакети!$E$28))</f>
        <v>0</v>
      </c>
      <c r="E6" s="25">
        <f>Обеми!E11*IF(Обеми!E$5=1,Пакети!$C$28,IF(Обеми!E$5=2,Пакети!$D$28,Пакети!$E$28))</f>
        <v>0</v>
      </c>
      <c r="F6" s="25">
        <f>Обеми!F11*IF(Обеми!F$5=1,Пакети!$C$28,IF(Обеми!F$5=2,Пакети!$D$28,Пакети!$E$28))</f>
        <v>21716.190476190477</v>
      </c>
      <c r="G6" s="25">
        <f>Обеми!G11*IF(Обеми!G$5=1,Пакети!$C$28,IF(Обеми!G$5=2,Пакети!$D$28,Пакети!$E$28))</f>
        <v>26059.428571428572</v>
      </c>
      <c r="H6" s="25">
        <f>Обеми!H11*IF(Обеми!H$5=1,Пакети!$C$28,IF(Обеми!H$5=2,Пакети!$D$28,Пакети!$E$28))</f>
        <v>30402.666666666664</v>
      </c>
      <c r="I6" s="25">
        <f>Обеми!I11*IF(Обеми!I$5=1,Пакети!$C$28,IF(Обеми!I$5=2,Пакети!$D$28,Пакети!$E$28))</f>
        <v>32574.285714285714</v>
      </c>
      <c r="J6" s="25">
        <f>Обеми!J11*IF(Обеми!J$5=1,Пакети!$C$28,IF(Обеми!J$5=2,Пакети!$D$28,Пакети!$E$28))</f>
        <v>43432.380952380954</v>
      </c>
      <c r="K6" s="25">
        <f>Обеми!K11*IF(Обеми!K$5=1,Пакети!$C$28,IF(Обеми!K$5=2,Пакети!$D$28,Пакети!$E$28))</f>
        <v>28231.047619047626</v>
      </c>
      <c r="L6" s="25">
        <f>Обеми!L11*IF(Обеми!L$5=1,Пакети!$C$28,IF(Обеми!L$5=2,Пакети!$D$28,Пакети!$E$28))</f>
        <v>23887.809523809523</v>
      </c>
      <c r="M6" s="25">
        <f>Обеми!M11*IF(Обеми!M$5=1,Пакети!$C$28,IF(Обеми!M$5=2,Пакети!$D$28,Пакети!$E$28))</f>
        <v>15201.333333333332</v>
      </c>
      <c r="N6" s="25">
        <f>Обеми!N11*IF(Обеми!N$5=1,Пакети!$C$28,IF(Обеми!N$5=2,Пакети!$D$28,Пакети!$E$28))</f>
        <v>6514.8571428571431</v>
      </c>
      <c r="O6" s="25">
        <f>Обеми!O11*IF(Обеми!O$5=1,Пакети!$C$28,IF(Обеми!O$5=2,Пакети!$D$28,Пакети!$E$28))</f>
        <v>8441.125</v>
      </c>
      <c r="P6" s="25">
        <f>Обеми!P11*IF(Обеми!P$5=1,Пакети!$C$28,IF(Обеми!P$5=2,Пакети!$D$28,Пакети!$E$28))</f>
        <v>11254.833333333334</v>
      </c>
      <c r="Q6" s="25">
        <f>Обеми!Q11*IF(Обеми!Q$5=1,Пакети!$C$28,IF(Обеми!Q$5=2,Пакети!$D$28,Пакети!$E$28))</f>
        <v>22509.666666666668</v>
      </c>
      <c r="R6" s="25">
        <f>Обеми!R11*IF(Обеми!R$5=1,Пакети!$C$28,IF(Обеми!R$5=2,Пакети!$D$28,Пакети!$E$28))</f>
        <v>28137.083333333332</v>
      </c>
      <c r="S6" s="25">
        <f>Обеми!S11*IF(Обеми!S$5=1,Пакети!$C$28,IF(Обеми!S$5=2,Пакети!$D$28,Пакети!$E$28))</f>
        <v>33764.5</v>
      </c>
      <c r="T6" s="25">
        <f>Обеми!T11*IF(Обеми!T$5=1,Пакети!$C$28,IF(Обеми!T$5=2,Пакети!$D$28,Пакети!$E$28))</f>
        <v>39391.916666666664</v>
      </c>
      <c r="U6" s="25">
        <f>Обеми!U11*IF(Обеми!U$5=1,Пакети!$C$28,IF(Обеми!U$5=2,Пакети!$D$28,Пакети!$E$28))</f>
        <v>42205.625</v>
      </c>
      <c r="V6" s="25">
        <f>Обеми!V11*IF(Обеми!V$5=1,Пакети!$C$28,IF(Обеми!V$5=2,Пакети!$D$28,Пакети!$E$28))</f>
        <v>56274.166666666664</v>
      </c>
      <c r="W6" s="25">
        <f>Обеми!W11*IF(Обеми!W$5=1,Пакети!$C$28,IF(Обеми!W$5=2,Пакети!$D$28,Пакети!$E$28))</f>
        <v>36578.208333333328</v>
      </c>
      <c r="X6" s="25">
        <f>Обеми!X11*IF(Обеми!X$5=1,Пакети!$C$28,IF(Обеми!X$5=2,Пакети!$D$28,Пакети!$E$28))</f>
        <v>30950.791666666668</v>
      </c>
      <c r="Y6" s="25">
        <f>Обеми!Y11*IF(Обеми!Y$5=1,Пакети!$C$28,IF(Обеми!Y$5=2,Пакети!$D$28,Пакети!$E$28))</f>
        <v>19695.958333333332</v>
      </c>
      <c r="Z6" s="25">
        <f>Обеми!Z11*IF(Обеми!Z$5=1,Пакети!$C$28,IF(Обеми!Z$5=2,Пакети!$D$28,Пакети!$E$28))</f>
        <v>8441.125</v>
      </c>
      <c r="AA6" s="25">
        <f>Обеми!AA11*IF(Обеми!AA$5=1,Пакети!$C$28,IF(Обеми!AA$5=2,Пакети!$D$28,Пакети!$E$28))</f>
        <v>13264.625</v>
      </c>
      <c r="AB6" s="25">
        <f>Обеми!AB11*IF(Обеми!AB$5=1,Пакети!$C$28,IF(Обеми!AB$5=2,Пакети!$D$28,Пакети!$E$28))</f>
        <v>17686.166666666668</v>
      </c>
      <c r="AC6" s="25">
        <f>Обеми!AC11*IF(Обеми!AC$5=1,Пакети!$C$28,IF(Обеми!AC$5=2,Пакети!$D$28,Пакети!$E$28))</f>
        <v>35372.333333333336</v>
      </c>
      <c r="AD6" s="25">
        <f>Обеми!AD11*IF(Обеми!AD$5=1,Пакети!$C$28,IF(Обеми!AD$5=2,Пакети!$D$28,Пакети!$E$28))</f>
        <v>44215.416666666672</v>
      </c>
      <c r="AE6" s="25">
        <f>Обеми!AE11*IF(Обеми!AE$5=1,Пакети!$C$28,IF(Обеми!AE$5=2,Пакети!$D$28,Пакети!$E$28))</f>
        <v>53058.5</v>
      </c>
      <c r="AF6" s="25">
        <f>Обеми!AF11*IF(Обеми!AF$5=1,Пакети!$C$28,IF(Обеми!AF$5=2,Пакети!$D$28,Пакети!$E$28))</f>
        <v>61901.583333333336</v>
      </c>
      <c r="AG6" s="25">
        <f>Обеми!AG11*IF(Обеми!AG$5=1,Пакети!$C$28,IF(Обеми!AG$5=2,Пакети!$D$28,Пакети!$E$28))</f>
        <v>66323.125</v>
      </c>
      <c r="AH6" s="25">
        <f>Обеми!AH11*IF(Обеми!AH$5=1,Пакети!$C$28,IF(Обеми!AH$5=2,Пакети!$D$28,Пакети!$E$28))</f>
        <v>88430.833333333343</v>
      </c>
      <c r="AI6" s="25">
        <f>Обеми!AI11*IF(Обеми!AI$5=1,Пакети!$C$28,IF(Обеми!AI$5=2,Пакети!$D$28,Пакети!$E$28))</f>
        <v>57480.041666666672</v>
      </c>
      <c r="AJ6" s="25">
        <f>Обеми!AJ11*IF(Обеми!AJ$5=1,Пакети!$C$28,IF(Обеми!AJ$5=2,Пакети!$D$28,Пакети!$E$28))</f>
        <v>48636.958333333343</v>
      </c>
      <c r="AK6" s="25">
        <f>Обеми!AK11*IF(Обеми!AK$5=1,Пакети!$C$28,IF(Обеми!AK$5=2,Пакети!$D$28,Пакети!$E$28))</f>
        <v>30950.791666666668</v>
      </c>
      <c r="AL6" s="25">
        <f>Обеми!AL11*IF(Обеми!AL$5=1,Пакети!$C$28,IF(Обеми!AL$5=2,Пакети!$D$28,Пакети!$E$28))</f>
        <v>13264.625</v>
      </c>
      <c r="AN6" s="19">
        <f>SUM(C6:N6)</f>
        <v>228020</v>
      </c>
      <c r="AO6" s="19">
        <f>SUM(O6:Z6)</f>
        <v>337645</v>
      </c>
      <c r="AP6" s="19">
        <f>SUM(AA6:AL6)</f>
        <v>530585</v>
      </c>
    </row>
    <row r="7" spans="2:42" x14ac:dyDescent="0.25">
      <c r="B7" s="9" t="s">
        <v>244</v>
      </c>
      <c r="C7" s="25">
        <f>Обеми!C11*IF(Обеми!C$5=1,Пакети!$C$35,IF(Обеми!C$5=2,Пакети!$D$35,Пакети!$E$35))</f>
        <v>0</v>
      </c>
      <c r="D7" s="25">
        <f>Обеми!D11*IF(Обеми!D$5=1,Пакети!$C$35,IF(Обеми!D$5=2,Пакети!$D$35,Пакети!$E$35))</f>
        <v>0</v>
      </c>
      <c r="E7" s="25">
        <f>Обеми!E11*IF(Обеми!E$5=1,Пакети!$C$35,IF(Обеми!E$5=2,Пакети!$D$35,Пакети!$E$35))</f>
        <v>0</v>
      </c>
      <c r="F7" s="25">
        <f>Обеми!F11*IF(Обеми!F$5=1,Пакети!$C$35,IF(Обеми!F$5=2,Пакети!$D$35,Пакети!$E$35))</f>
        <v>5181.4285714285716</v>
      </c>
      <c r="G7" s="25">
        <f>Обеми!G11*IF(Обеми!G$5=1,Пакети!$C$35,IF(Обеми!G$5=2,Пакети!$D$35,Пакети!$E$35))</f>
        <v>6217.7142857142862</v>
      </c>
      <c r="H7" s="25">
        <f>Обеми!H11*IF(Обеми!H$5=1,Пакети!$C$35,IF(Обеми!H$5=2,Пакети!$D$35,Пакети!$E$35))</f>
        <v>7253.9999999999991</v>
      </c>
      <c r="I7" s="25">
        <f>Обеми!I11*IF(Обеми!I$5=1,Пакети!$C$35,IF(Обеми!I$5=2,Пакети!$D$35,Пакети!$E$35))</f>
        <v>7772.1428571428578</v>
      </c>
      <c r="J7" s="25">
        <f>Обеми!J11*IF(Обеми!J$5=1,Пакети!$C$35,IF(Обеми!J$5=2,Пакети!$D$35,Пакети!$E$35))</f>
        <v>10362.857142857143</v>
      </c>
      <c r="K7" s="25">
        <f>Обеми!K11*IF(Обеми!K$5=1,Пакети!$C$35,IF(Обеми!K$5=2,Пакети!$D$35,Пакети!$E$35))</f>
        <v>6735.857142857144</v>
      </c>
      <c r="L7" s="25">
        <f>Обеми!L11*IF(Обеми!L$5=1,Пакети!$C$35,IF(Обеми!L$5=2,Пакети!$D$35,Пакети!$E$35))</f>
        <v>5699.5714285714284</v>
      </c>
      <c r="M7" s="25">
        <f>Обеми!M11*IF(Обеми!M$5=1,Пакети!$C$35,IF(Обеми!M$5=2,Пакети!$D$35,Пакети!$E$35))</f>
        <v>3626.9999999999995</v>
      </c>
      <c r="N7" s="25">
        <f>Обеми!N11*IF(Обеми!N$5=1,Пакети!$C$35,IF(Обеми!N$5=2,Пакети!$D$35,Пакети!$E$35))</f>
        <v>1554.4285714285716</v>
      </c>
      <c r="O7" s="25">
        <f>Обеми!O11*IF(Обеми!O$5=1,Пакети!$C$35,IF(Обеми!O$5=2,Пакети!$D$35,Пакети!$E$35))</f>
        <v>2014.03125</v>
      </c>
      <c r="P7" s="25">
        <f>Обеми!P11*IF(Обеми!P$5=1,Пакети!$C$35,IF(Обеми!P$5=2,Пакети!$D$35,Пакети!$E$35))</f>
        <v>2685.375</v>
      </c>
      <c r="Q7" s="25">
        <f>Обеми!Q11*IF(Обеми!Q$5=1,Пакети!$C$35,IF(Обеми!Q$5=2,Пакети!$D$35,Пакети!$E$35))</f>
        <v>5370.75</v>
      </c>
      <c r="R7" s="25">
        <f>Обеми!R11*IF(Обеми!R$5=1,Пакети!$C$35,IF(Обеми!R$5=2,Пакети!$D$35,Пакети!$E$35))</f>
        <v>6713.4375</v>
      </c>
      <c r="S7" s="25">
        <f>Обеми!S11*IF(Обеми!S$5=1,Пакети!$C$35,IF(Обеми!S$5=2,Пакети!$D$35,Пакети!$E$35))</f>
        <v>8056.125</v>
      </c>
      <c r="T7" s="25">
        <f>Обеми!T11*IF(Обеми!T$5=1,Пакети!$C$35,IF(Обеми!T$5=2,Пакети!$D$35,Пакети!$E$35))</f>
        <v>9398.8125</v>
      </c>
      <c r="U7" s="25">
        <f>Обеми!U11*IF(Обеми!U$5=1,Пакети!$C$35,IF(Обеми!U$5=2,Пакети!$D$35,Пакети!$E$35))</f>
        <v>10070.15625</v>
      </c>
      <c r="V7" s="25">
        <f>Обеми!V11*IF(Обеми!V$5=1,Пакети!$C$35,IF(Обеми!V$5=2,Пакети!$D$35,Пакети!$E$35))</f>
        <v>13426.875</v>
      </c>
      <c r="W7" s="25">
        <f>Обеми!W11*IF(Обеми!W$5=1,Пакети!$C$35,IF(Обеми!W$5=2,Пакети!$D$35,Пакети!$E$35))</f>
        <v>8727.46875</v>
      </c>
      <c r="X7" s="25">
        <f>Обеми!X11*IF(Обеми!X$5=1,Пакети!$C$35,IF(Обеми!X$5=2,Пакети!$D$35,Пакети!$E$35))</f>
        <v>7384.78125</v>
      </c>
      <c r="Y7" s="25">
        <f>Обеми!Y11*IF(Обеми!Y$5=1,Пакети!$C$35,IF(Обеми!Y$5=2,Пакети!$D$35,Пакети!$E$35))</f>
        <v>4699.40625</v>
      </c>
      <c r="Z7" s="25">
        <f>Обеми!Z11*IF(Обеми!Z$5=1,Пакети!$C$35,IF(Обеми!Z$5=2,Пакети!$D$35,Пакети!$E$35))</f>
        <v>2014.03125</v>
      </c>
      <c r="AA7" s="25">
        <f>Обеми!AA11*IF(Обеми!AA$5=1,Пакети!$C$35,IF(Обеми!AA$5=2,Пакети!$D$35,Пакети!$E$35))</f>
        <v>3164.90625</v>
      </c>
      <c r="AB7" s="25">
        <f>Обеми!AB11*IF(Обеми!AB$5=1,Пакети!$C$35,IF(Обеми!AB$5=2,Пакети!$D$35,Пакети!$E$35))</f>
        <v>4219.8750000000009</v>
      </c>
      <c r="AC7" s="25">
        <f>Обеми!AC11*IF(Обеми!AC$5=1,Пакети!$C$35,IF(Обеми!AC$5=2,Пакети!$D$35,Пакети!$E$35))</f>
        <v>8439.7500000000018</v>
      </c>
      <c r="AD7" s="25">
        <f>Обеми!AD11*IF(Обеми!AD$5=1,Пакети!$C$35,IF(Обеми!AD$5=2,Пакети!$D$35,Пакети!$E$35))</f>
        <v>10549.687500000002</v>
      </c>
      <c r="AE7" s="25">
        <f>Обеми!AE11*IF(Обеми!AE$5=1,Пакети!$C$35,IF(Обеми!AE$5=2,Пакети!$D$35,Пакети!$E$35))</f>
        <v>12659.625</v>
      </c>
      <c r="AF7" s="25">
        <f>Обеми!AF11*IF(Обеми!AF$5=1,Пакети!$C$35,IF(Обеми!AF$5=2,Пакети!$D$35,Пакети!$E$35))</f>
        <v>14769.5625</v>
      </c>
      <c r="AG7" s="25">
        <f>Обеми!AG11*IF(Обеми!AG$5=1,Пакети!$C$35,IF(Обеми!AG$5=2,Пакети!$D$35,Пакети!$E$35))</f>
        <v>15824.531250000002</v>
      </c>
      <c r="AH7" s="25">
        <f>Обеми!AH11*IF(Обеми!AH$5=1,Пакети!$C$35,IF(Обеми!AH$5=2,Пакети!$D$35,Пакети!$E$35))</f>
        <v>21099.375000000004</v>
      </c>
      <c r="AI7" s="25">
        <f>Обеми!AI11*IF(Обеми!AI$5=1,Пакети!$C$35,IF(Обеми!AI$5=2,Пакети!$D$35,Пакети!$E$35))</f>
        <v>13714.593750000002</v>
      </c>
      <c r="AJ7" s="25">
        <f>Обеми!AJ11*IF(Обеми!AJ$5=1,Пакети!$C$35,IF(Обеми!AJ$5=2,Пакети!$D$35,Пакети!$E$35))</f>
        <v>11604.656250000002</v>
      </c>
      <c r="AK7" s="25">
        <f>Обеми!AK11*IF(Обеми!AK$5=1,Пакети!$C$35,IF(Обеми!AK$5=2,Пакети!$D$35,Пакети!$E$35))</f>
        <v>7384.78125</v>
      </c>
      <c r="AL7" s="25">
        <f>Обеми!AL11*IF(Обеми!AL$5=1,Пакети!$C$35,IF(Обеми!AL$5=2,Пакети!$D$35,Пакети!$E$35))</f>
        <v>3164.90625</v>
      </c>
      <c r="AN7" s="19">
        <f>SUM(C7:N7)</f>
        <v>54405.000000000007</v>
      </c>
      <c r="AO7" s="19">
        <f>SUM(O7:Z7)</f>
        <v>80561.25</v>
      </c>
      <c r="AP7" s="19">
        <f>SUM(AA7:AL7)</f>
        <v>126596.25000000001</v>
      </c>
    </row>
    <row r="8" spans="2:42" x14ac:dyDescent="0.25">
      <c r="B8" s="9" t="s">
        <v>245</v>
      </c>
      <c r="C8" s="10">
        <f>0*(1-Допускания!$C$48)+Обеми!C11*Допускания!$C$45</f>
        <v>0</v>
      </c>
      <c r="D8" s="10">
        <f>C8*(1-Допускания!$C$48)+Обеми!D11*Допускания!$C$45</f>
        <v>0</v>
      </c>
      <c r="E8" s="10">
        <f>D8*(1-Допускания!$C$48)+Обеми!E11*Допускания!$C$45</f>
        <v>0</v>
      </c>
      <c r="F8" s="10">
        <f>E8*(1-Допускания!$C$48)+Обеми!F11*Допускания!$C$45</f>
        <v>0.24761904761904763</v>
      </c>
      <c r="G8" s="10">
        <f>F8*(1-Допускания!$C$48)+Обеми!G11*Допускания!$C$45</f>
        <v>0.54278095238095236</v>
      </c>
      <c r="H8" s="10">
        <f>G8*(1-Допускания!$C$48)+Обеми!H11*Допускания!$C$45</f>
        <v>0.88510537142857137</v>
      </c>
      <c r="I8" s="10">
        <f>H8*(1-Допускания!$C$48)+Обеми!I11*Допускания!$C$45</f>
        <v>1.2494530998857143</v>
      </c>
      <c r="J8" s="10">
        <f>I8*(1-Допускания!$C$48)+Обеми!J11*Допускания!$C$45</f>
        <v>1.7346955703247238</v>
      </c>
      <c r="K8" s="10">
        <f>J8*(1-Допускания!$C$48)+Обеми!K11*Допускания!$C$45</f>
        <v>2.0427227676668882</v>
      </c>
      <c r="L8" s="10">
        <f>K8*(1-Допускания!$C$48)+Обеми!L11*Допускания!$C$45</f>
        <v>2.2987619379065056</v>
      </c>
      <c r="M8" s="10">
        <f>L8*(1-Допускания!$C$48)+Обеми!M11*Допускания!$C$45</f>
        <v>2.4537051757365869</v>
      </c>
      <c r="N8" s="10">
        <f>M8*(1-Допускания!$C$48)+Обеми!N11*Допускания!$C$45</f>
        <v>2.5083612486164086</v>
      </c>
      <c r="O8" s="10">
        <f>N8*(1-Допускания!$C$48)+Обеми!O11*Допускания!$C$45</f>
        <v>2.5757943586274772</v>
      </c>
      <c r="P8" s="10">
        <f>O8*(1-Допускания!$C$48)+Обеми!P11*Допускания!$C$45</f>
        <v>2.671854670425124</v>
      </c>
      <c r="Q8" s="10">
        <f>P8*(1-Допускания!$C$48)+Обеми!Q11*Допускания!$C$45</f>
        <v>2.8838131663950564</v>
      </c>
      <c r="R8" s="10">
        <f>Q8*(1-Допускания!$C$48)+Обеми!R11*Допускания!$C$45</f>
        <v>3.1524093277305623</v>
      </c>
      <c r="S8" s="10">
        <f>R8*(1-Допускания!$C$48)+Обеми!S11*Допускания!$C$45</f>
        <v>3.4771900531087176</v>
      </c>
      <c r="T8" s="10">
        <f>S8*(1-Допускания!$C$48)+Обеми!T11*Допускания!$C$45</f>
        <v>3.8577058660171812</v>
      </c>
      <c r="U8" s="10">
        <f>T8*(1-Допускания!$C$48)+Обеми!U11*Допускания!$C$45</f>
        <v>4.2643442190890433</v>
      </c>
      <c r="V8" s="10">
        <f>U8*(1-Допускания!$C$48)+Обеми!V11*Допускания!$C$45</f>
        <v>4.8135627986696639</v>
      </c>
      <c r="W8" s="10">
        <f>V8*(1-Допускания!$C$48)+Обеми!W11*Допускания!$C$45</f>
        <v>5.1542209629469733</v>
      </c>
      <c r="X8" s="10">
        <f>W8*(1-Допускания!$C$48)+Обеми!X11*Допускания!$C$45</f>
        <v>5.4338205285767316</v>
      </c>
      <c r="Y8" s="10">
        <f>X8*(1-Допускания!$C$48)+Обеми!Y11*Допускания!$C$45</f>
        <v>5.594516631014784</v>
      </c>
      <c r="Z8" s="10">
        <f>Y8*(1-Допускания!$C$48)+Обеми!Z11*Допускания!$C$45</f>
        <v>5.6372604979666665</v>
      </c>
      <c r="AA8" s="10">
        <f>Z8*(1-Допускания!$C$48)+Обеми!AA11*Допускания!$C$45</f>
        <v>5.7171624139829333</v>
      </c>
      <c r="AB8" s="10">
        <f>AA8*(1-Допускания!$C$48)+Обеми!AB11*Допускания!$C$45</f>
        <v>5.8380917813377371</v>
      </c>
      <c r="AC8" s="10">
        <f>AB8*(1-Допускания!$C$48)+Обеми!AC11*Допускания!$C$45</f>
        <v>6.124720380420368</v>
      </c>
      <c r="AD8" s="10">
        <f>AC8*(1-Допускания!$C$48)+Обеми!AD11*Допускания!$C$45</f>
        <v>6.4923892840436723</v>
      </c>
      <c r="AE8" s="10">
        <f>AD8*(1-Допускания!$C$48)+Обеми!AE11*Допускания!$C$45</f>
        <v>6.9404501697713226</v>
      </c>
      <c r="AF8" s="10">
        <f>AE8*(1-Допускания!$C$48)+Обеми!AF11*Допускания!$C$45</f>
        <v>7.4682599017464852</v>
      </c>
      <c r="AG8" s="10">
        <f>AF8*(1-Допускания!$C$48)+Обеми!AG11*Допускания!$C$45</f>
        <v>8.0335138225325124</v>
      </c>
      <c r="AH8" s="10">
        <f>AG8*(1-Допускания!$C$48)+Обеми!AH11*Допускания!$C$45</f>
        <v>8.8025790452855865</v>
      </c>
      <c r="AI8" s="10">
        <f>AH8*(1-Допускания!$C$48)+Обеми!AI11*Допускания!$C$45</f>
        <v>9.273825079589967</v>
      </c>
      <c r="AJ8" s="10">
        <f>AI8*(1-Допускания!$C$48)+Обеми!AJ11*Допускания!$C$45</f>
        <v>9.6579678122865804</v>
      </c>
      <c r="AK8" s="10">
        <f>AJ8*(1-Допускания!$C$48)+Обеми!AK11*Допускания!$C$45</f>
        <v>9.872370736454954</v>
      </c>
      <c r="AL8" s="10">
        <f>AK8*(1-Допускания!$C$48)+Обеми!AL11*Допускания!$C$45</f>
        <v>9.9183917705633142</v>
      </c>
    </row>
    <row r="9" spans="2:42" x14ac:dyDescent="0.25">
      <c r="B9" s="9" t="s">
        <v>246</v>
      </c>
      <c r="C9" s="25">
        <f>C8*Допускания!$C$46</f>
        <v>0</v>
      </c>
      <c r="D9" s="25">
        <f>D8*Допускания!$C$46</f>
        <v>0</v>
      </c>
      <c r="E9" s="25">
        <f>E8*Допускания!$C$46</f>
        <v>0</v>
      </c>
      <c r="F9" s="25">
        <f>F8*Допускания!$C$46</f>
        <v>13.61904761904762</v>
      </c>
      <c r="G9" s="25">
        <f>G8*Допускания!$C$46</f>
        <v>29.852952380952381</v>
      </c>
      <c r="H9" s="25">
        <f>H8*Допускания!$C$46</f>
        <v>48.680795428571429</v>
      </c>
      <c r="I9" s="25">
        <f>I8*Допускания!$C$46</f>
        <v>68.719920493714284</v>
      </c>
      <c r="J9" s="25">
        <f>J8*Допускания!$C$46</f>
        <v>95.408256367859806</v>
      </c>
      <c r="K9" s="25">
        <f>K8*Допускания!$C$46</f>
        <v>112.34975222167886</v>
      </c>
      <c r="L9" s="25">
        <f>L8*Допускания!$C$46</f>
        <v>126.43190658485781</v>
      </c>
      <c r="M9" s="25">
        <f>M8*Допускания!$C$46</f>
        <v>134.95378466551227</v>
      </c>
      <c r="N9" s="25">
        <f>N8*Допускания!$C$46</f>
        <v>137.95986867390246</v>
      </c>
      <c r="O9" s="25">
        <f>O8*Допускания!$C$46</f>
        <v>141.66868972451124</v>
      </c>
      <c r="P9" s="25">
        <f>P8*Допускания!$C$46</f>
        <v>146.95200687338183</v>
      </c>
      <c r="Q9" s="25">
        <f>Q8*Допускания!$C$46</f>
        <v>158.6097241517281</v>
      </c>
      <c r="R9" s="25">
        <f>R8*Допускания!$C$46</f>
        <v>173.38251302518091</v>
      </c>
      <c r="S9" s="25">
        <f>S8*Допускания!$C$46</f>
        <v>191.24545292097946</v>
      </c>
      <c r="T9" s="25">
        <f>T8*Допускания!$C$46</f>
        <v>212.17382263094495</v>
      </c>
      <c r="U9" s="25">
        <f>U8*Допускания!$C$46</f>
        <v>234.53893204989737</v>
      </c>
      <c r="V9" s="25">
        <f>V8*Допускания!$C$46</f>
        <v>264.74595392683153</v>
      </c>
      <c r="W9" s="25">
        <f>W8*Допускания!$C$46</f>
        <v>283.48215296208355</v>
      </c>
      <c r="X9" s="25">
        <f>X8*Допускания!$C$46</f>
        <v>298.86012907172022</v>
      </c>
      <c r="Y9" s="25">
        <f>Y8*Допускания!$C$46</f>
        <v>307.69841470581309</v>
      </c>
      <c r="Z9" s="25">
        <f>Z8*Допускания!$C$46</f>
        <v>310.04932738816666</v>
      </c>
      <c r="AA9" s="25">
        <f>AA8*Допускания!$C$46</f>
        <v>314.44393276906135</v>
      </c>
      <c r="AB9" s="25">
        <f>AB8*Допускания!$C$46</f>
        <v>321.09504797357556</v>
      </c>
      <c r="AC9" s="25">
        <f>AC8*Допускания!$C$46</f>
        <v>336.85962092312025</v>
      </c>
      <c r="AD9" s="25">
        <f>AD8*Допускания!$C$46</f>
        <v>357.08141062240196</v>
      </c>
      <c r="AE9" s="25">
        <f>AE8*Допускания!$C$46</f>
        <v>381.72475933742277</v>
      </c>
      <c r="AF9" s="25">
        <f>AF8*Допускания!$C$46</f>
        <v>410.7542945960567</v>
      </c>
      <c r="AG9" s="25">
        <f>AG8*Допускания!$C$46</f>
        <v>441.84326023928816</v>
      </c>
      <c r="AH9" s="25">
        <f>AH8*Допускания!$C$46</f>
        <v>484.14184749070728</v>
      </c>
      <c r="AI9" s="25">
        <f>AI8*Допускания!$C$46</f>
        <v>510.06037937744821</v>
      </c>
      <c r="AJ9" s="25">
        <f>AJ8*Допускания!$C$46</f>
        <v>531.18822967576193</v>
      </c>
      <c r="AK9" s="25">
        <f>AK8*Допускания!$C$46</f>
        <v>542.98039050502246</v>
      </c>
      <c r="AL9" s="25">
        <f>AL8*Допускания!$C$46</f>
        <v>545.51154738098228</v>
      </c>
      <c r="AN9" s="19">
        <f>SUM(C9:N9)</f>
        <v>767.97628443609688</v>
      </c>
      <c r="AO9" s="19">
        <f>SUM(O9:Z9)</f>
        <v>2723.4071194312392</v>
      </c>
      <c r="AP9" s="19">
        <f>SUM(AA9:AL9)</f>
        <v>5177.6847208908475</v>
      </c>
    </row>
    <row r="10" spans="2:42" x14ac:dyDescent="0.25">
      <c r="B10" s="18" t="s">
        <v>247</v>
      </c>
      <c r="C10" s="19">
        <f t="shared" ref="C10:AL10" si="0">SUM(C6:C9)-C8*0</f>
        <v>0</v>
      </c>
      <c r="D10" s="19">
        <f t="shared" si="0"/>
        <v>0</v>
      </c>
      <c r="E10" s="19">
        <f t="shared" si="0"/>
        <v>0</v>
      </c>
      <c r="F10" s="19">
        <f t="shared" si="0"/>
        <v>26911.485714285714</v>
      </c>
      <c r="G10" s="19">
        <f t="shared" si="0"/>
        <v>32307.538590476193</v>
      </c>
      <c r="H10" s="19">
        <f t="shared" si="0"/>
        <v>37706.232567466664</v>
      </c>
      <c r="I10" s="19">
        <f t="shared" si="0"/>
        <v>40416.397945022174</v>
      </c>
      <c r="J10" s="19">
        <f t="shared" si="0"/>
        <v>53892.381047176284</v>
      </c>
      <c r="K10" s="19">
        <f t="shared" si="0"/>
        <v>35081.297236894119</v>
      </c>
      <c r="L10" s="19">
        <f t="shared" si="0"/>
        <v>29716.111620903714</v>
      </c>
      <c r="M10" s="19">
        <f t="shared" si="0"/>
        <v>18965.740823174579</v>
      </c>
      <c r="N10" s="19">
        <f t="shared" si="0"/>
        <v>8209.7539442082325</v>
      </c>
      <c r="O10" s="19">
        <f t="shared" si="0"/>
        <v>10599.400734083138</v>
      </c>
      <c r="P10" s="19">
        <f t="shared" si="0"/>
        <v>14089.832194877141</v>
      </c>
      <c r="Q10" s="19">
        <f t="shared" si="0"/>
        <v>28041.910203984789</v>
      </c>
      <c r="R10" s="19">
        <f t="shared" si="0"/>
        <v>35027.05575568624</v>
      </c>
      <c r="S10" s="19">
        <f t="shared" si="0"/>
        <v>42015.347642974091</v>
      </c>
      <c r="T10" s="19">
        <f t="shared" si="0"/>
        <v>49006.760695163626</v>
      </c>
      <c r="U10" s="19">
        <f t="shared" si="0"/>
        <v>52514.584526268984</v>
      </c>
      <c r="V10" s="19">
        <f t="shared" si="0"/>
        <v>69970.601183392151</v>
      </c>
      <c r="W10" s="19">
        <f t="shared" si="0"/>
        <v>45594.313457258359</v>
      </c>
      <c r="X10" s="19">
        <f t="shared" si="0"/>
        <v>38639.866866266966</v>
      </c>
      <c r="Y10" s="19">
        <f t="shared" si="0"/>
        <v>24708.657514670162</v>
      </c>
      <c r="Z10" s="19">
        <f t="shared" si="0"/>
        <v>10770.842837886134</v>
      </c>
      <c r="AA10" s="19">
        <f t="shared" si="0"/>
        <v>16749.692345183044</v>
      </c>
      <c r="AB10" s="19">
        <f t="shared" si="0"/>
        <v>22232.974806421582</v>
      </c>
      <c r="AC10" s="19">
        <f t="shared" si="0"/>
        <v>44155.067674636877</v>
      </c>
      <c r="AD10" s="19">
        <f t="shared" si="0"/>
        <v>55128.677966573116</v>
      </c>
      <c r="AE10" s="19">
        <f t="shared" si="0"/>
        <v>66106.790209507191</v>
      </c>
      <c r="AF10" s="19">
        <f t="shared" si="0"/>
        <v>77089.368387831142</v>
      </c>
      <c r="AG10" s="19">
        <f t="shared" si="0"/>
        <v>82597.53302406182</v>
      </c>
      <c r="AH10" s="19">
        <f t="shared" si="0"/>
        <v>110023.15275986934</v>
      </c>
      <c r="AI10" s="19">
        <f t="shared" si="0"/>
        <v>71713.969621123717</v>
      </c>
      <c r="AJ10" s="19">
        <f t="shared" si="0"/>
        <v>60782.460780821391</v>
      </c>
      <c r="AK10" s="19">
        <f t="shared" si="0"/>
        <v>38888.425677908148</v>
      </c>
      <c r="AL10" s="19">
        <f t="shared" si="0"/>
        <v>16984.961189151545</v>
      </c>
      <c r="AN10" s="19">
        <f>SUM(C10:N10)</f>
        <v>283206.93948960764</v>
      </c>
      <c r="AO10" s="19">
        <f>SUM(O10:Z10)</f>
        <v>420979.17361251177</v>
      </c>
      <c r="AP10" s="19">
        <f>SUM(AA10:AL10)</f>
        <v>662453.07444308884</v>
      </c>
    </row>
    <row r="12" spans="2:42" x14ac:dyDescent="0.25">
      <c r="B12" s="4" t="s">
        <v>198</v>
      </c>
    </row>
    <row r="13" spans="2:42" x14ac:dyDescent="0.25">
      <c r="B13" s="9" t="s">
        <v>248</v>
      </c>
      <c r="C13" s="25">
        <f>Обеми!C12*IF(Обеми!C$5=1,Допускания!$C$21,IF(Обеми!C$5=2,Допускания!$D$21,Допускания!$E$21))*Допускания!$C$8</f>
        <v>0</v>
      </c>
      <c r="D13" s="25">
        <f>Обеми!D12*IF(Обеми!D$5=1,Допускания!$C$21,IF(Обеми!D$5=2,Допускания!$D$21,Допускания!$E$21))*Допускания!$C$8</f>
        <v>0</v>
      </c>
      <c r="E13" s="25">
        <f>Обеми!E12*IF(Обеми!E$5=1,Допускания!$C$21,IF(Обеми!E$5=2,Допускания!$D$21,Допускания!$E$21))*Допускания!$C$8</f>
        <v>0</v>
      </c>
      <c r="F13" s="25">
        <f>Обеми!F12*IF(Обеми!F$5=1,Допускания!$C$21,IF(Обеми!F$5=2,Допускания!$D$21,Допускания!$E$21))*Допускания!$C$8</f>
        <v>5881.2000000000007</v>
      </c>
      <c r="G13" s="25">
        <f>Обеми!G12*IF(Обеми!G$5=1,Допускания!$C$21,IF(Обеми!G$5=2,Допускания!$D$21,Допускания!$E$21))*Допускания!$C$8</f>
        <v>7057.4400000000005</v>
      </c>
      <c r="H13" s="25">
        <f>Обеми!H12*IF(Обеми!H$5=1,Допускания!$C$21,IF(Обеми!H$5=2,Допускания!$D$21,Допускания!$E$21))*Допускания!$C$8</f>
        <v>8233.6799999999985</v>
      </c>
      <c r="I13" s="25">
        <f>Обеми!I12*IF(Обеми!I$5=1,Допускания!$C$21,IF(Обеми!I$5=2,Допускания!$D$21,Допускания!$E$21))*Допускания!$C$8</f>
        <v>8821.7999999999993</v>
      </c>
      <c r="J13" s="25">
        <f>Обеми!J12*IF(Обеми!J$5=1,Допускания!$C$21,IF(Обеми!J$5=2,Допускания!$D$21,Допускания!$E$21))*Допускания!$C$8</f>
        <v>11762.400000000001</v>
      </c>
      <c r="K13" s="25">
        <f>Обеми!K12*IF(Обеми!K$5=1,Допускания!$C$21,IF(Обеми!K$5=2,Допускания!$D$21,Допускания!$E$21))*Допускания!$C$8</f>
        <v>7645.56</v>
      </c>
      <c r="L13" s="25">
        <f>Обеми!L12*IF(Обеми!L$5=1,Допускания!$C$21,IF(Обеми!L$5=2,Допускания!$D$21,Допускания!$E$21))*Допускания!$C$8</f>
        <v>6469.32</v>
      </c>
      <c r="M13" s="25">
        <f>Обеми!M12*IF(Обеми!M$5=1,Допускания!$C$21,IF(Обеми!M$5=2,Допускания!$D$21,Допускания!$E$21))*Допускания!$C$8</f>
        <v>4116.8399999999992</v>
      </c>
      <c r="N13" s="25">
        <f>Обеми!N12*IF(Обеми!N$5=1,Допускания!$C$21,IF(Обеми!N$5=2,Допускания!$D$21,Допускания!$E$21))*Допускания!$C$8</f>
        <v>1764.3600000000001</v>
      </c>
      <c r="O13" s="25">
        <f>Обеми!O12*IF(Обеми!O$5=1,Допускания!$C$21,IF(Обеми!O$5=2,Допускания!$D$21,Допускания!$E$21))*Допускания!$C$8</f>
        <v>1880.2874999999999</v>
      </c>
      <c r="P13" s="25">
        <f>Обеми!P12*IF(Обеми!P$5=1,Допускания!$C$21,IF(Обеми!P$5=2,Допускания!$D$21,Допускания!$E$21))*Допускания!$C$8</f>
        <v>2507.0499999999997</v>
      </c>
      <c r="Q13" s="25">
        <f>Обеми!Q12*IF(Обеми!Q$5=1,Допускания!$C$21,IF(Обеми!Q$5=2,Допускания!$D$21,Допускания!$E$21))*Допускания!$C$8</f>
        <v>5014.0999999999995</v>
      </c>
      <c r="R13" s="25">
        <f>Обеми!R12*IF(Обеми!R$5=1,Допускания!$C$21,IF(Обеми!R$5=2,Допускания!$D$21,Допускания!$E$21))*Допускания!$C$8</f>
        <v>6267.6249999999991</v>
      </c>
      <c r="S13" s="25">
        <f>Обеми!S12*IF(Обеми!S$5=1,Допускания!$C$21,IF(Обеми!S$5=2,Допускания!$D$21,Допускания!$E$21))*Допускания!$C$8</f>
        <v>7521.15</v>
      </c>
      <c r="T13" s="25">
        <f>Обеми!T12*IF(Обеми!T$5=1,Допускания!$C$21,IF(Обеми!T$5=2,Допускания!$D$21,Допускания!$E$21))*Допускания!$C$8</f>
        <v>8774.6749999999993</v>
      </c>
      <c r="U13" s="25">
        <f>Обеми!U12*IF(Обеми!U$5=1,Допускания!$C$21,IF(Обеми!U$5=2,Допускания!$D$21,Допускания!$E$21))*Допускания!$C$8</f>
        <v>9401.4375</v>
      </c>
      <c r="V13" s="25">
        <f>Обеми!V12*IF(Обеми!V$5=1,Допускания!$C$21,IF(Обеми!V$5=2,Допускания!$D$21,Допускания!$E$21))*Допускания!$C$8</f>
        <v>12535.249999999998</v>
      </c>
      <c r="W13" s="25">
        <f>Обеми!W12*IF(Обеми!W$5=1,Допускания!$C$21,IF(Обеми!W$5=2,Допускания!$D$21,Допускания!$E$21))*Допускания!$C$8</f>
        <v>8147.9124999999995</v>
      </c>
      <c r="X13" s="25">
        <f>Обеми!X12*IF(Обеми!X$5=1,Допускания!$C$21,IF(Обеми!X$5=2,Допускания!$D$21,Допускания!$E$21))*Допускания!$C$8</f>
        <v>6894.3874999999998</v>
      </c>
      <c r="Y13" s="25">
        <f>Обеми!Y12*IF(Обеми!Y$5=1,Допускания!$C$21,IF(Обеми!Y$5=2,Допускания!$D$21,Допускания!$E$21))*Допускания!$C$8</f>
        <v>4387.3374999999996</v>
      </c>
      <c r="Z13" s="25">
        <f>Обеми!Z12*IF(Обеми!Z$5=1,Допускания!$C$21,IF(Обеми!Z$5=2,Допускания!$D$21,Допускания!$E$21))*Допускания!$C$8</f>
        <v>1880.2874999999999</v>
      </c>
      <c r="AA13" s="25">
        <f>Обеми!AA12*IF(Обеми!AA$5=1,Допускания!$C$21,IF(Обеми!AA$5=2,Допускания!$D$21,Допускания!$E$21))*Допускания!$C$8</f>
        <v>2474.0625</v>
      </c>
      <c r="AB13" s="25">
        <f>Обеми!AB12*IF(Обеми!AB$5=1,Допускания!$C$21,IF(Обеми!AB$5=2,Допускания!$D$21,Допускания!$E$21))*Допускания!$C$8</f>
        <v>3298.75</v>
      </c>
      <c r="AC13" s="25">
        <f>Обеми!AC12*IF(Обеми!AC$5=1,Допускания!$C$21,IF(Обеми!AC$5=2,Допускания!$D$21,Допускания!$E$21))*Допускания!$C$8</f>
        <v>6597.5</v>
      </c>
      <c r="AD13" s="25">
        <f>Обеми!AD12*IF(Обеми!AD$5=1,Допускания!$C$21,IF(Обеми!AD$5=2,Допускания!$D$21,Допускания!$E$21))*Допускания!$C$8</f>
        <v>8246.875</v>
      </c>
      <c r="AE13" s="25">
        <f>Обеми!AE12*IF(Обеми!AE$5=1,Допускания!$C$21,IF(Обеми!AE$5=2,Допускания!$D$21,Допускания!$E$21))*Допускания!$C$8</f>
        <v>9896.25</v>
      </c>
      <c r="AF13" s="25">
        <f>Обеми!AF12*IF(Обеми!AF$5=1,Допускания!$C$21,IF(Обеми!AF$5=2,Допускания!$D$21,Допускания!$E$21))*Допускания!$C$8</f>
        <v>11545.624999999998</v>
      </c>
      <c r="AG13" s="25">
        <f>Обеми!AG12*IF(Обеми!AG$5=1,Допускания!$C$21,IF(Обеми!AG$5=2,Допускания!$D$21,Допускания!$E$21))*Допускания!$C$8</f>
        <v>12370.3125</v>
      </c>
      <c r="AH13" s="25">
        <f>Обеми!AH12*IF(Обеми!AH$5=1,Допускания!$C$21,IF(Обеми!AH$5=2,Допускания!$D$21,Допускания!$E$21))*Допускания!$C$8</f>
        <v>16493.75</v>
      </c>
      <c r="AI13" s="25">
        <f>Обеми!AI12*IF(Обеми!AI$5=1,Допускания!$C$21,IF(Обеми!AI$5=2,Допускания!$D$21,Допускания!$E$21))*Допускания!$C$8</f>
        <v>10720.9375</v>
      </c>
      <c r="AJ13" s="25">
        <f>Обеми!AJ12*IF(Обеми!AJ$5=1,Допускания!$C$21,IF(Обеми!AJ$5=2,Допускания!$D$21,Допускания!$E$21))*Допускания!$C$8</f>
        <v>9071.5625</v>
      </c>
      <c r="AK13" s="25">
        <f>Обеми!AK12*IF(Обеми!AK$5=1,Допускания!$C$21,IF(Обеми!AK$5=2,Допускания!$D$21,Допускания!$E$21))*Допускания!$C$8</f>
        <v>5772.8124999999991</v>
      </c>
      <c r="AL13" s="25">
        <f>Обеми!AL12*IF(Обеми!AL$5=1,Допускания!$C$21,IF(Обеми!AL$5=2,Допускания!$D$21,Допускания!$E$21))*Допускания!$C$8</f>
        <v>2474.0625</v>
      </c>
      <c r="AN13" s="19">
        <f t="shared" ref="AN13:AN19" si="1">SUM(C13:N13)</f>
        <v>61752.6</v>
      </c>
      <c r="AO13" s="19">
        <f t="shared" ref="AO13:AO19" si="2">SUM(O13:Z13)</f>
        <v>75211.5</v>
      </c>
      <c r="AP13" s="19">
        <f t="shared" ref="AP13:AP19" si="3">SUM(AA13:AL13)</f>
        <v>98962.5</v>
      </c>
    </row>
    <row r="14" spans="2:42" x14ac:dyDescent="0.25">
      <c r="B14" s="9" t="s">
        <v>200</v>
      </c>
      <c r="C14" s="25">
        <f>Обеми!C12*IF(Обеми!C$5=1,Допускания!$C$22,IF(Обеми!C$5=2,Допускания!$D$22,Допускания!$E$22))</f>
        <v>0</v>
      </c>
      <c r="D14" s="25">
        <f>Обеми!D12*IF(Обеми!D$5=1,Допускания!$C$22,IF(Обеми!D$5=2,Допускания!$D$22,Допускания!$E$22))</f>
        <v>0</v>
      </c>
      <c r="E14" s="25">
        <f>Обеми!E12*IF(Обеми!E$5=1,Допускания!$C$22,IF(Обеми!E$5=2,Допускания!$D$22,Допускания!$E$22))</f>
        <v>0</v>
      </c>
      <c r="F14" s="25">
        <f>Обеми!F12*IF(Обеми!F$5=1,Допускания!$C$22,IF(Обеми!F$5=2,Допускания!$D$22,Допускания!$E$22))</f>
        <v>2240.457142857143</v>
      </c>
      <c r="G14" s="25">
        <f>Обеми!G12*IF(Обеми!G$5=1,Допускания!$C$22,IF(Обеми!G$5=2,Допускания!$D$22,Допускания!$E$22))</f>
        <v>2688.5485714285714</v>
      </c>
      <c r="H14" s="25">
        <f>Обеми!H12*IF(Обеми!H$5=1,Допускания!$C$22,IF(Обеми!H$5=2,Допускания!$D$22,Допускания!$E$22))</f>
        <v>3136.6399999999994</v>
      </c>
      <c r="I14" s="25">
        <f>Обеми!I12*IF(Обеми!I$5=1,Допускания!$C$22,IF(Обеми!I$5=2,Допускания!$D$22,Допускания!$E$22))</f>
        <v>3360.6857142857143</v>
      </c>
      <c r="J14" s="25">
        <f>Обеми!J12*IF(Обеми!J$5=1,Допускания!$C$22,IF(Обеми!J$5=2,Допускания!$D$22,Допускания!$E$22))</f>
        <v>4480.9142857142861</v>
      </c>
      <c r="K14" s="25">
        <f>Обеми!K12*IF(Обеми!K$5=1,Допускания!$C$22,IF(Обеми!K$5=2,Допускания!$D$22,Допускания!$E$22))</f>
        <v>2912.5942857142859</v>
      </c>
      <c r="L14" s="25">
        <f>Обеми!L12*IF(Обеми!L$5=1,Допускания!$C$22,IF(Обеми!L$5=2,Допускания!$D$22,Допускания!$E$22))</f>
        <v>2464.502857142857</v>
      </c>
      <c r="M14" s="25">
        <f>Обеми!M12*IF(Обеми!M$5=1,Допускания!$C$22,IF(Обеми!M$5=2,Допускания!$D$22,Допускания!$E$22))</f>
        <v>1568.3199999999997</v>
      </c>
      <c r="N14" s="25">
        <f>Обеми!N12*IF(Обеми!N$5=1,Допускания!$C$22,IF(Обеми!N$5=2,Допускания!$D$22,Допускания!$E$22))</f>
        <v>672.13714285714286</v>
      </c>
      <c r="O14" s="25">
        <f>Обеми!O12*IF(Обеми!O$5=1,Допускания!$C$22,IF(Обеми!O$5=2,Допускания!$D$22,Допускания!$E$22))</f>
        <v>742.21874999999989</v>
      </c>
      <c r="P14" s="25">
        <f>Обеми!P12*IF(Обеми!P$5=1,Допускания!$C$22,IF(Обеми!P$5=2,Допускания!$D$22,Допускания!$E$22))</f>
        <v>989.62499999999989</v>
      </c>
      <c r="Q14" s="25">
        <f>Обеми!Q12*IF(Обеми!Q$5=1,Допускания!$C$22,IF(Обеми!Q$5=2,Допускания!$D$22,Допускания!$E$22))</f>
        <v>1979.2499999999998</v>
      </c>
      <c r="R14" s="25">
        <f>Обеми!R12*IF(Обеми!R$5=1,Допускания!$C$22,IF(Обеми!R$5=2,Допускания!$D$22,Допускания!$E$22))</f>
        <v>2474.0624999999995</v>
      </c>
      <c r="S14" s="25">
        <f>Обеми!S12*IF(Обеми!S$5=1,Допускания!$C$22,IF(Обеми!S$5=2,Допускания!$D$22,Допускания!$E$22))</f>
        <v>2968.8749999999995</v>
      </c>
      <c r="T14" s="25">
        <f>Обеми!T12*IF(Обеми!T$5=1,Допускания!$C$22,IF(Обеми!T$5=2,Допускания!$D$22,Допускания!$E$22))</f>
        <v>3463.6874999999995</v>
      </c>
      <c r="U14" s="25">
        <f>Обеми!U12*IF(Обеми!U$5=1,Допускания!$C$22,IF(Обеми!U$5=2,Допускания!$D$22,Допускания!$E$22))</f>
        <v>3711.09375</v>
      </c>
      <c r="V14" s="25">
        <f>Обеми!V12*IF(Обеми!V$5=1,Допускания!$C$22,IF(Обеми!V$5=2,Допускания!$D$22,Допускания!$E$22))</f>
        <v>4948.1249999999991</v>
      </c>
      <c r="W14" s="25">
        <f>Обеми!W12*IF(Обеми!W$5=1,Допускания!$C$22,IF(Обеми!W$5=2,Допускания!$D$22,Допускания!$E$22))</f>
        <v>3216.28125</v>
      </c>
      <c r="X14" s="25">
        <f>Обеми!X12*IF(Обеми!X$5=1,Допускания!$C$22,IF(Обеми!X$5=2,Допускания!$D$22,Допускания!$E$22))</f>
        <v>2721.46875</v>
      </c>
      <c r="Y14" s="25">
        <f>Обеми!Y12*IF(Обеми!Y$5=1,Допускания!$C$22,IF(Обеми!Y$5=2,Допускания!$D$22,Допускания!$E$22))</f>
        <v>1731.8437499999998</v>
      </c>
      <c r="Z14" s="25">
        <f>Обеми!Z12*IF(Обеми!Z$5=1,Допускания!$C$22,IF(Обеми!Z$5=2,Допускания!$D$22,Допускания!$E$22))</f>
        <v>742.21874999999989</v>
      </c>
      <c r="AA14" s="25">
        <f>Обеми!AA12*IF(Обеми!AA$5=1,Допускания!$C$22,IF(Обеми!AA$5=2,Допускания!$D$22,Допускания!$E$22))</f>
        <v>1060.3125</v>
      </c>
      <c r="AB14" s="25">
        <f>Обеми!AB12*IF(Обеми!AB$5=1,Допускания!$C$22,IF(Обеми!AB$5=2,Допускания!$D$22,Допускания!$E$22))</f>
        <v>1413.75</v>
      </c>
      <c r="AC14" s="25">
        <f>Обеми!AC12*IF(Обеми!AC$5=1,Допускания!$C$22,IF(Обеми!AC$5=2,Допускания!$D$22,Допускания!$E$22))</f>
        <v>2827.5</v>
      </c>
      <c r="AD14" s="25">
        <f>Обеми!AD12*IF(Обеми!AD$5=1,Допускания!$C$22,IF(Обеми!AD$5=2,Допускания!$D$22,Допускания!$E$22))</f>
        <v>3534.375</v>
      </c>
      <c r="AE14" s="25">
        <f>Обеми!AE12*IF(Обеми!AE$5=1,Допускания!$C$22,IF(Обеми!AE$5=2,Допускания!$D$22,Допускания!$E$22))</f>
        <v>4241.25</v>
      </c>
      <c r="AF14" s="25">
        <f>Обеми!AF12*IF(Обеми!AF$5=1,Допускания!$C$22,IF(Обеми!AF$5=2,Допускания!$D$22,Допускания!$E$22))</f>
        <v>4948.1249999999991</v>
      </c>
      <c r="AG14" s="25">
        <f>Обеми!AG12*IF(Обеми!AG$5=1,Допускания!$C$22,IF(Обеми!AG$5=2,Допускания!$D$22,Допускания!$E$22))</f>
        <v>5301.5625</v>
      </c>
      <c r="AH14" s="25">
        <f>Обеми!AH12*IF(Обеми!AH$5=1,Допускания!$C$22,IF(Обеми!AH$5=2,Допускания!$D$22,Допускания!$E$22))</f>
        <v>7068.75</v>
      </c>
      <c r="AI14" s="25">
        <f>Обеми!AI12*IF(Обеми!AI$5=1,Допускания!$C$22,IF(Обеми!AI$5=2,Допускания!$D$22,Допускания!$E$22))</f>
        <v>4594.6875</v>
      </c>
      <c r="AJ14" s="25">
        <f>Обеми!AJ12*IF(Обеми!AJ$5=1,Допускания!$C$22,IF(Обеми!AJ$5=2,Допускания!$D$22,Допускания!$E$22))</f>
        <v>3887.8125</v>
      </c>
      <c r="AK14" s="25">
        <f>Обеми!AK12*IF(Обеми!AK$5=1,Допускания!$C$22,IF(Обеми!AK$5=2,Допускания!$D$22,Допускания!$E$22))</f>
        <v>2474.0624999999995</v>
      </c>
      <c r="AL14" s="25">
        <f>Обеми!AL12*IF(Обеми!AL$5=1,Допускания!$C$22,IF(Обеми!AL$5=2,Допускания!$D$22,Допускания!$E$22))</f>
        <v>1060.3125</v>
      </c>
      <c r="AN14" s="19">
        <f t="shared" si="1"/>
        <v>23524.800000000003</v>
      </c>
      <c r="AO14" s="19">
        <f t="shared" si="2"/>
        <v>29688.749999999996</v>
      </c>
      <c r="AP14" s="19">
        <f t="shared" si="3"/>
        <v>42412.5</v>
      </c>
    </row>
    <row r="15" spans="2:42" x14ac:dyDescent="0.25">
      <c r="B15" s="9" t="s">
        <v>249</v>
      </c>
      <c r="C15" s="25">
        <f>Обеми!C11*IF(Обеми!C$5=1,Пакети!$C$33,IF(Обеми!C$5=2,Пакети!$D$33,Пакети!$E$33))</f>
        <v>0</v>
      </c>
      <c r="D15" s="25">
        <f>Обеми!D11*IF(Обеми!D$5=1,Пакети!$C$33,IF(Обеми!D$5=2,Пакети!$D$33,Пакети!$E$33))</f>
        <v>0</v>
      </c>
      <c r="E15" s="25">
        <f>Обеми!E11*IF(Обеми!E$5=1,Пакети!$C$33,IF(Обеми!E$5=2,Пакети!$D$33,Пакети!$E$33))</f>
        <v>0</v>
      </c>
      <c r="F15" s="25">
        <f>Обеми!F11*IF(Обеми!F$5=1,Пакети!$C$33,IF(Обеми!F$5=2,Пакети!$D$33,Пакети!$E$33))</f>
        <v>3575.6190476190477</v>
      </c>
      <c r="G15" s="25">
        <f>Обеми!G11*IF(Обеми!G$5=1,Пакети!$C$33,IF(Обеми!G$5=2,Пакети!$D$33,Пакети!$E$33))</f>
        <v>4290.7428571428572</v>
      </c>
      <c r="H15" s="25">
        <f>Обеми!H11*IF(Обеми!H$5=1,Пакети!$C$33,IF(Обеми!H$5=2,Пакети!$D$33,Пакети!$E$33))</f>
        <v>5005.8666666666659</v>
      </c>
      <c r="I15" s="25">
        <f>Обеми!I11*IF(Обеми!I$5=1,Пакети!$C$33,IF(Обеми!I$5=2,Пакети!$D$33,Пакети!$E$33))</f>
        <v>5363.4285714285716</v>
      </c>
      <c r="J15" s="25">
        <f>Обеми!J11*IF(Обеми!J$5=1,Пакети!$C$33,IF(Обеми!J$5=2,Пакети!$D$33,Пакети!$E$33))</f>
        <v>7151.2380952380954</v>
      </c>
      <c r="K15" s="25">
        <f>Обеми!K11*IF(Обеми!K$5=1,Пакети!$C$33,IF(Обеми!K$5=2,Пакети!$D$33,Пакети!$E$33))</f>
        <v>4648.3047619047629</v>
      </c>
      <c r="L15" s="25">
        <f>Обеми!L11*IF(Обеми!L$5=1,Пакети!$C$33,IF(Обеми!L$5=2,Пакети!$D$33,Пакети!$E$33))</f>
        <v>3933.1809523809525</v>
      </c>
      <c r="M15" s="25">
        <f>Обеми!M11*IF(Обеми!M$5=1,Пакети!$C$33,IF(Обеми!M$5=2,Пакети!$D$33,Пакети!$E$33))</f>
        <v>2502.9333333333329</v>
      </c>
      <c r="N15" s="25">
        <f>Обеми!N11*IF(Обеми!N$5=1,Пакети!$C$33,IF(Обеми!N$5=2,Пакети!$D$33,Пакети!$E$33))</f>
        <v>1072.6857142857143</v>
      </c>
      <c r="O15" s="25">
        <f>Обеми!O11*IF(Обеми!O$5=1,Пакети!$C$33,IF(Обеми!O$5=2,Пакети!$D$33,Пакети!$E$33))</f>
        <v>1190.3149999999998</v>
      </c>
      <c r="P15" s="25">
        <f>Обеми!P11*IF(Обеми!P$5=1,Пакети!$C$33,IF(Обеми!P$5=2,Пакети!$D$33,Пакети!$E$33))</f>
        <v>1587.0866666666666</v>
      </c>
      <c r="Q15" s="25">
        <f>Обеми!Q11*IF(Обеми!Q$5=1,Пакети!$C$33,IF(Обеми!Q$5=2,Пакети!$D$33,Пакети!$E$33))</f>
        <v>3174.1733333333332</v>
      </c>
      <c r="R15" s="25">
        <f>Обеми!R11*IF(Обеми!R$5=1,Пакети!$C$33,IF(Обеми!R$5=2,Пакети!$D$33,Пакети!$E$33))</f>
        <v>3967.7166666666662</v>
      </c>
      <c r="S15" s="25">
        <f>Обеми!S11*IF(Обеми!S$5=1,Пакети!$C$33,IF(Обеми!S$5=2,Пакети!$D$33,Пакети!$E$33))</f>
        <v>4761.2599999999993</v>
      </c>
      <c r="T15" s="25">
        <f>Обеми!T11*IF(Обеми!T$5=1,Пакети!$C$33,IF(Обеми!T$5=2,Пакети!$D$33,Пакети!$E$33))</f>
        <v>5554.8033333333324</v>
      </c>
      <c r="U15" s="25">
        <f>Обеми!U11*IF(Обеми!U$5=1,Пакети!$C$33,IF(Обеми!U$5=2,Пакети!$D$33,Пакети!$E$33))</f>
        <v>5951.5749999999998</v>
      </c>
      <c r="V15" s="25">
        <f>Обеми!V11*IF(Обеми!V$5=1,Пакети!$C$33,IF(Обеми!V$5=2,Пакети!$D$33,Пакети!$E$33))</f>
        <v>7935.4333333333325</v>
      </c>
      <c r="W15" s="25">
        <f>Обеми!W11*IF(Обеми!W$5=1,Пакети!$C$33,IF(Обеми!W$5=2,Пакети!$D$33,Пакети!$E$33))</f>
        <v>5158.0316666666658</v>
      </c>
      <c r="X15" s="25">
        <f>Обеми!X11*IF(Обеми!X$5=1,Пакети!$C$33,IF(Обеми!X$5=2,Пакети!$D$33,Пакети!$E$33))</f>
        <v>4364.4883333333328</v>
      </c>
      <c r="Y15" s="25">
        <f>Обеми!Y11*IF(Обеми!Y$5=1,Пакети!$C$33,IF(Обеми!Y$5=2,Пакети!$D$33,Пакети!$E$33))</f>
        <v>2777.4016666666662</v>
      </c>
      <c r="Z15" s="25">
        <f>Обеми!Z11*IF(Обеми!Z$5=1,Пакети!$C$33,IF(Обеми!Z$5=2,Пакети!$D$33,Пакети!$E$33))</f>
        <v>1190.3149999999998</v>
      </c>
      <c r="AA15" s="25">
        <f>Обеми!AA11*IF(Обеми!AA$5=1,Пакети!$C$33,IF(Обеми!AA$5=2,Пакети!$D$33,Пакети!$E$33))</f>
        <v>1630.75</v>
      </c>
      <c r="AB15" s="25">
        <f>Обеми!AB11*IF(Обеми!AB$5=1,Пакети!$C$33,IF(Обеми!AB$5=2,Пакети!$D$33,Пакети!$E$33))</f>
        <v>2174.3333333333335</v>
      </c>
      <c r="AC15" s="25">
        <f>Обеми!AC11*IF(Обеми!AC$5=1,Пакети!$C$33,IF(Обеми!AC$5=2,Пакети!$D$33,Пакети!$E$33))</f>
        <v>4348.666666666667</v>
      </c>
      <c r="AD15" s="25">
        <f>Обеми!AD11*IF(Обеми!AD$5=1,Пакети!$C$33,IF(Обеми!AD$5=2,Пакети!$D$33,Пакети!$E$33))</f>
        <v>5435.833333333333</v>
      </c>
      <c r="AE15" s="25">
        <f>Обеми!AE11*IF(Обеми!AE$5=1,Пакети!$C$33,IF(Обеми!AE$5=2,Пакети!$D$33,Пакети!$E$33))</f>
        <v>6523</v>
      </c>
      <c r="AF15" s="25">
        <f>Обеми!AF11*IF(Обеми!AF$5=1,Пакети!$C$33,IF(Обеми!AF$5=2,Пакети!$D$33,Пакети!$E$33))</f>
        <v>7610.1666666666661</v>
      </c>
      <c r="AG15" s="25">
        <f>Обеми!AG11*IF(Обеми!AG$5=1,Пакети!$C$33,IF(Обеми!AG$5=2,Пакети!$D$33,Пакети!$E$33))</f>
        <v>8153.7499999999991</v>
      </c>
      <c r="AH15" s="25">
        <f>Обеми!AH11*IF(Обеми!AH$5=1,Пакети!$C$33,IF(Обеми!AH$5=2,Пакети!$D$33,Пакети!$E$33))</f>
        <v>10871.666666666666</v>
      </c>
      <c r="AI15" s="25">
        <f>Обеми!AI11*IF(Обеми!AI$5=1,Пакети!$C$33,IF(Обеми!AI$5=2,Пакети!$D$33,Пакети!$E$33))</f>
        <v>7066.583333333333</v>
      </c>
      <c r="AJ15" s="25">
        <f>Обеми!AJ11*IF(Обеми!AJ$5=1,Пакети!$C$33,IF(Обеми!AJ$5=2,Пакети!$D$33,Пакети!$E$33))</f>
        <v>5979.416666666667</v>
      </c>
      <c r="AK15" s="25">
        <f>Обеми!AK11*IF(Обеми!AK$5=1,Пакети!$C$33,IF(Обеми!AK$5=2,Пакети!$D$33,Пакети!$E$33))</f>
        <v>3805.083333333333</v>
      </c>
      <c r="AL15" s="25">
        <f>Обеми!AL11*IF(Обеми!AL$5=1,Пакети!$C$33,IF(Обеми!AL$5=2,Пакети!$D$33,Пакети!$E$33))</f>
        <v>1630.75</v>
      </c>
      <c r="AN15" s="19">
        <f t="shared" si="1"/>
        <v>37544</v>
      </c>
      <c r="AO15" s="19">
        <f t="shared" si="2"/>
        <v>47612.600000000006</v>
      </c>
      <c r="AP15" s="19">
        <f t="shared" si="3"/>
        <v>65230</v>
      </c>
    </row>
    <row r="16" spans="2:42" x14ac:dyDescent="0.25">
      <c r="B16" s="9" t="s">
        <v>250</v>
      </c>
      <c r="C16" s="25">
        <f>Обеми!C11*IF(Обеми!C$5=1,Пакети!$C$36,IF(Обеми!C$5=2,Пакети!$D$36,Пакети!$E$36))</f>
        <v>0</v>
      </c>
      <c r="D16" s="25">
        <f>Обеми!D11*IF(Обеми!D$5=1,Пакети!$C$36,IF(Обеми!D$5=2,Пакети!$D$36,Пакети!$E$36))</f>
        <v>0</v>
      </c>
      <c r="E16" s="25">
        <f>Обеми!E11*IF(Обеми!E$5=1,Пакети!$C$36,IF(Обеми!E$5=2,Пакети!$D$36,Пакети!$E$36))</f>
        <v>0</v>
      </c>
      <c r="F16" s="25">
        <f>Обеми!F11*IF(Обеми!F$5=1,Пакети!$C$36,IF(Обеми!F$5=2,Пакети!$D$36,Пакети!$E$36))</f>
        <v>2967.0952380952381</v>
      </c>
      <c r="G16" s="25">
        <f>Обеми!G11*IF(Обеми!G$5=1,Пакети!$C$36,IF(Обеми!G$5=2,Пакети!$D$36,Пакети!$E$36))</f>
        <v>3560.514285714286</v>
      </c>
      <c r="H16" s="25">
        <f>Обеми!H11*IF(Обеми!H$5=1,Пакети!$C$36,IF(Обеми!H$5=2,Пакети!$D$36,Пакети!$E$36))</f>
        <v>4153.9333333333334</v>
      </c>
      <c r="I16" s="25">
        <f>Обеми!I11*IF(Обеми!I$5=1,Пакети!$C$36,IF(Обеми!I$5=2,Пакети!$D$36,Пакети!$E$36))</f>
        <v>4450.6428571428569</v>
      </c>
      <c r="J16" s="25">
        <f>Обеми!J11*IF(Обеми!J$5=1,Пакети!$C$36,IF(Обеми!J$5=2,Пакети!$D$36,Пакети!$E$36))</f>
        <v>5934.1904761904761</v>
      </c>
      <c r="K16" s="25">
        <f>Обеми!K11*IF(Обеми!K$5=1,Пакети!$C$36,IF(Обеми!K$5=2,Пакети!$D$36,Пакети!$E$36))</f>
        <v>3857.2238095238104</v>
      </c>
      <c r="L16" s="25">
        <f>Обеми!L11*IF(Обеми!L$5=1,Пакети!$C$36,IF(Обеми!L$5=2,Пакети!$D$36,Пакети!$E$36))</f>
        <v>3263.804761904762</v>
      </c>
      <c r="M16" s="25">
        <f>Обеми!M11*IF(Обеми!M$5=1,Пакети!$C$36,IF(Обеми!M$5=2,Пакети!$D$36,Пакети!$E$36))</f>
        <v>2076.9666666666667</v>
      </c>
      <c r="N16" s="25">
        <f>Обеми!N11*IF(Обеми!N$5=1,Пакети!$C$36,IF(Обеми!N$5=2,Пакети!$D$36,Пакети!$E$36))</f>
        <v>890.12857142857149</v>
      </c>
      <c r="O16" s="25">
        <f>Обеми!O11*IF(Обеми!O$5=1,Пакети!$C$36,IF(Обеми!O$5=2,Пакети!$D$36,Пакети!$E$36))</f>
        <v>1048.46875</v>
      </c>
      <c r="P16" s="25">
        <f>Обеми!P11*IF(Обеми!P$5=1,Пакети!$C$36,IF(Обеми!P$5=2,Пакети!$D$36,Пакети!$E$36))</f>
        <v>1397.9583333333335</v>
      </c>
      <c r="Q16" s="25">
        <f>Обеми!Q11*IF(Обеми!Q$5=1,Пакети!$C$36,IF(Обеми!Q$5=2,Пакети!$D$36,Пакети!$E$36))</f>
        <v>2795.916666666667</v>
      </c>
      <c r="R16" s="25">
        <f>Обеми!R11*IF(Обеми!R$5=1,Пакети!$C$36,IF(Обеми!R$5=2,Пакети!$D$36,Пакети!$E$36))</f>
        <v>3494.895833333333</v>
      </c>
      <c r="S16" s="25">
        <f>Обеми!S11*IF(Обеми!S$5=1,Пакети!$C$36,IF(Обеми!S$5=2,Пакети!$D$36,Пакети!$E$36))</f>
        <v>4193.875</v>
      </c>
      <c r="T16" s="25">
        <f>Обеми!T11*IF(Обеми!T$5=1,Пакети!$C$36,IF(Обеми!T$5=2,Пакети!$D$36,Пакети!$E$36))</f>
        <v>4892.8541666666661</v>
      </c>
      <c r="U16" s="25">
        <f>Обеми!U11*IF(Обеми!U$5=1,Пакети!$C$36,IF(Обеми!U$5=2,Пакети!$D$36,Пакети!$E$36))</f>
        <v>5242.34375</v>
      </c>
      <c r="V16" s="25">
        <f>Обеми!V11*IF(Обеми!V$5=1,Пакети!$C$36,IF(Обеми!V$5=2,Пакети!$D$36,Пакети!$E$36))</f>
        <v>6989.7916666666661</v>
      </c>
      <c r="W16" s="25">
        <f>Обеми!W11*IF(Обеми!W$5=1,Пакети!$C$36,IF(Обеми!W$5=2,Пакети!$D$36,Пакети!$E$36))</f>
        <v>4543.364583333333</v>
      </c>
      <c r="X16" s="25">
        <f>Обеми!X11*IF(Обеми!X$5=1,Пакети!$C$36,IF(Обеми!X$5=2,Пакети!$D$36,Пакети!$E$36))</f>
        <v>3844.385416666667</v>
      </c>
      <c r="Y16" s="25">
        <f>Обеми!Y11*IF(Обеми!Y$5=1,Пакети!$C$36,IF(Обеми!Y$5=2,Пакети!$D$36,Пакети!$E$36))</f>
        <v>2446.427083333333</v>
      </c>
      <c r="Z16" s="25">
        <f>Обеми!Z11*IF(Обеми!Z$5=1,Пакети!$C$36,IF(Обеми!Z$5=2,Пакети!$D$36,Пакети!$E$36))</f>
        <v>1048.46875</v>
      </c>
      <c r="AA16" s="25">
        <f>Обеми!AA11*IF(Обеми!AA$5=1,Пакети!$C$36,IF(Обеми!AA$5=2,Пакети!$D$36,Пакети!$E$36))</f>
        <v>1497.8125</v>
      </c>
      <c r="AB16" s="25">
        <f>Обеми!AB11*IF(Обеми!AB$5=1,Пакети!$C$36,IF(Обеми!AB$5=2,Пакети!$D$36,Пакети!$E$36))</f>
        <v>1997.0833333333335</v>
      </c>
      <c r="AC16" s="25">
        <f>Обеми!AC11*IF(Обеми!AC$5=1,Пакети!$C$36,IF(Обеми!AC$5=2,Пакети!$D$36,Пакети!$E$36))</f>
        <v>3994.166666666667</v>
      </c>
      <c r="AD16" s="25">
        <f>Обеми!AD11*IF(Обеми!AD$5=1,Пакети!$C$36,IF(Обеми!AD$5=2,Пакети!$D$36,Пакети!$E$36))</f>
        <v>4992.7083333333339</v>
      </c>
      <c r="AE16" s="25">
        <f>Обеми!AE11*IF(Обеми!AE$5=1,Пакети!$C$36,IF(Обеми!AE$5=2,Пакети!$D$36,Пакети!$E$36))</f>
        <v>5991.25</v>
      </c>
      <c r="AF16" s="25">
        <f>Обеми!AF11*IF(Обеми!AF$5=1,Пакети!$C$36,IF(Обеми!AF$5=2,Пакети!$D$36,Пакети!$E$36))</f>
        <v>6989.7916666666661</v>
      </c>
      <c r="AG16" s="25">
        <f>Обеми!AG11*IF(Обеми!AG$5=1,Пакети!$C$36,IF(Обеми!AG$5=2,Пакети!$D$36,Пакети!$E$36))</f>
        <v>7489.0625</v>
      </c>
      <c r="AH16" s="25">
        <f>Обеми!AH11*IF(Обеми!AH$5=1,Пакети!$C$36,IF(Обеми!AH$5=2,Пакети!$D$36,Пакети!$E$36))</f>
        <v>9985.4166666666679</v>
      </c>
      <c r="AI16" s="25">
        <f>Обеми!AI11*IF(Обеми!AI$5=1,Пакети!$C$36,IF(Обеми!AI$5=2,Пакети!$D$36,Пакети!$E$36))</f>
        <v>6490.5208333333339</v>
      </c>
      <c r="AJ16" s="25">
        <f>Обеми!AJ11*IF(Обеми!AJ$5=1,Пакети!$C$36,IF(Обеми!AJ$5=2,Пакети!$D$36,Пакети!$E$36))</f>
        <v>5491.979166666667</v>
      </c>
      <c r="AK16" s="25">
        <f>Обеми!AK11*IF(Обеми!AK$5=1,Пакети!$C$36,IF(Обеми!AK$5=2,Пакети!$D$36,Пакети!$E$36))</f>
        <v>3494.895833333333</v>
      </c>
      <c r="AL16" s="25">
        <f>Обеми!AL11*IF(Обеми!AL$5=1,Пакети!$C$36,IF(Обеми!AL$5=2,Пакети!$D$36,Пакети!$E$36))</f>
        <v>1497.8125</v>
      </c>
      <c r="AN16" s="19">
        <f t="shared" si="1"/>
        <v>31154.5</v>
      </c>
      <c r="AO16" s="19">
        <f t="shared" si="2"/>
        <v>41938.75</v>
      </c>
      <c r="AP16" s="19">
        <f t="shared" si="3"/>
        <v>59912.500000000007</v>
      </c>
    </row>
    <row r="17" spans="2:42" x14ac:dyDescent="0.25">
      <c r="B17" s="9" t="s">
        <v>251</v>
      </c>
      <c r="C17" s="25">
        <f>C8*Допускания!$C$47</f>
        <v>0</v>
      </c>
      <c r="D17" s="25">
        <f>D8*Допускания!$C$47</f>
        <v>0</v>
      </c>
      <c r="E17" s="25">
        <f>E8*Допускания!$C$47</f>
        <v>0</v>
      </c>
      <c r="F17" s="25">
        <f>F8*Допускания!$C$47</f>
        <v>4.4571428571428573</v>
      </c>
      <c r="G17" s="25">
        <f>G8*Допускания!$C$47</f>
        <v>9.7700571428571426</v>
      </c>
      <c r="H17" s="25">
        <f>H8*Допускания!$C$47</f>
        <v>15.931896685714285</v>
      </c>
      <c r="I17" s="25">
        <f>I8*Допускания!$C$47</f>
        <v>22.490155797942858</v>
      </c>
      <c r="J17" s="25">
        <f>J8*Допускания!$C$47</f>
        <v>31.22452026584503</v>
      </c>
      <c r="K17" s="25">
        <f>K8*Допускания!$C$47</f>
        <v>36.769009818003987</v>
      </c>
      <c r="L17" s="25">
        <f>L8*Допускания!$C$47</f>
        <v>41.3777148823171</v>
      </c>
      <c r="M17" s="25">
        <f>M8*Допускания!$C$47</f>
        <v>44.166693163258564</v>
      </c>
      <c r="N17" s="25">
        <f>N8*Допускания!$C$47</f>
        <v>45.150502475095358</v>
      </c>
      <c r="O17" s="25">
        <f>O8*Допускания!$C$47</f>
        <v>46.364298455294588</v>
      </c>
      <c r="P17" s="25">
        <f>P8*Допускания!$C$47</f>
        <v>48.093384067652231</v>
      </c>
      <c r="Q17" s="25">
        <f>Q8*Допускания!$C$47</f>
        <v>51.908636995111017</v>
      </c>
      <c r="R17" s="25">
        <f>R8*Допускания!$C$47</f>
        <v>56.743367899150122</v>
      </c>
      <c r="S17" s="25">
        <f>S8*Допускания!$C$47</f>
        <v>62.589420955956918</v>
      </c>
      <c r="T17" s="25">
        <f>T8*Допускания!$C$47</f>
        <v>69.438705588309261</v>
      </c>
      <c r="U17" s="25">
        <f>U8*Допускания!$C$47</f>
        <v>76.758195943602772</v>
      </c>
      <c r="V17" s="25">
        <f>V8*Допускания!$C$47</f>
        <v>86.644130376053951</v>
      </c>
      <c r="W17" s="25">
        <f>W8*Допускания!$C$47</f>
        <v>92.775977333045518</v>
      </c>
      <c r="X17" s="25">
        <f>X8*Допускания!$C$47</f>
        <v>97.808769514381169</v>
      </c>
      <c r="Y17" s="25">
        <f>Y8*Допускания!$C$47</f>
        <v>100.70129935826611</v>
      </c>
      <c r="Z17" s="25">
        <f>Z8*Допускания!$C$47</f>
        <v>101.47068896339999</v>
      </c>
      <c r="AA17" s="25">
        <f>AA8*Допускания!$C$47</f>
        <v>102.9089234516928</v>
      </c>
      <c r="AB17" s="25">
        <f>AB8*Допускания!$C$47</f>
        <v>105.08565206407927</v>
      </c>
      <c r="AC17" s="25">
        <f>AC8*Допускания!$C$47</f>
        <v>110.24496684756663</v>
      </c>
      <c r="AD17" s="25">
        <f>AD8*Допускания!$C$47</f>
        <v>116.86300711278611</v>
      </c>
      <c r="AE17" s="25">
        <f>AE8*Допускания!$C$47</f>
        <v>124.92810305588381</v>
      </c>
      <c r="AF17" s="25">
        <f>AF8*Допускания!$C$47</f>
        <v>134.42867823143672</v>
      </c>
      <c r="AG17" s="25">
        <f>AG8*Допускания!$C$47</f>
        <v>144.60324880558522</v>
      </c>
      <c r="AH17" s="25">
        <f>AH8*Допускания!$C$47</f>
        <v>158.44642281514055</v>
      </c>
      <c r="AI17" s="25">
        <f>AI8*Допускания!$C$47</f>
        <v>166.92885143261941</v>
      </c>
      <c r="AJ17" s="25">
        <f>AJ8*Допускания!$C$47</f>
        <v>173.84342062115846</v>
      </c>
      <c r="AK17" s="25">
        <f>AK8*Допускания!$C$47</f>
        <v>177.70267325618917</v>
      </c>
      <c r="AL17" s="25">
        <f>AL8*Допускания!$C$47</f>
        <v>178.53105187013966</v>
      </c>
      <c r="AN17" s="19">
        <f t="shared" si="1"/>
        <v>251.33769308817716</v>
      </c>
      <c r="AO17" s="19">
        <f t="shared" si="2"/>
        <v>891.29687545022364</v>
      </c>
      <c r="AP17" s="19">
        <f t="shared" si="3"/>
        <v>1694.5149995642778</v>
      </c>
    </row>
    <row r="18" spans="2:42" x14ac:dyDescent="0.25">
      <c r="B18" s="35" t="s">
        <v>206</v>
      </c>
      <c r="C18" s="36">
        <f>C6*Допускания!$C$55</f>
        <v>0</v>
      </c>
      <c r="D18" s="36">
        <f>D6*Допускания!$C$55</f>
        <v>0</v>
      </c>
      <c r="E18" s="36">
        <f>E6*Допускания!$C$55</f>
        <v>0</v>
      </c>
      <c r="F18" s="36">
        <f>F6*Допускания!$C$55</f>
        <v>1737.2952380952381</v>
      </c>
      <c r="G18" s="36">
        <f>G6*Допускания!$C$55</f>
        <v>2084.7542857142857</v>
      </c>
      <c r="H18" s="36">
        <f>H6*Допускания!$C$55</f>
        <v>2432.2133333333331</v>
      </c>
      <c r="I18" s="36">
        <f>I6*Допускания!$C$55</f>
        <v>2605.9428571428571</v>
      </c>
      <c r="J18" s="36">
        <f>J6*Допускания!$C$55</f>
        <v>3474.5904761904762</v>
      </c>
      <c r="K18" s="36">
        <f>K6*Допускания!$C$55</f>
        <v>2258.4838095238101</v>
      </c>
      <c r="L18" s="36">
        <f>L6*Допускания!$C$55</f>
        <v>1911.0247619047618</v>
      </c>
      <c r="M18" s="36">
        <f>M6*Допускания!$C$55</f>
        <v>1216.1066666666666</v>
      </c>
      <c r="N18" s="36">
        <f>N6*Допускания!$C$55</f>
        <v>521.18857142857144</v>
      </c>
      <c r="O18" s="36">
        <f>O6*Допускания!$C$55</f>
        <v>675.29</v>
      </c>
      <c r="P18" s="36">
        <f>P6*Допускания!$C$55</f>
        <v>900.38666666666677</v>
      </c>
      <c r="Q18" s="36">
        <f>Q6*Допускания!$C$55</f>
        <v>1800.7733333333335</v>
      </c>
      <c r="R18" s="36">
        <f>R6*Допускания!$C$55</f>
        <v>2250.9666666666667</v>
      </c>
      <c r="S18" s="36">
        <f>S6*Допускания!$C$55</f>
        <v>2701.16</v>
      </c>
      <c r="T18" s="36">
        <f>T6*Допускания!$C$55</f>
        <v>3151.353333333333</v>
      </c>
      <c r="U18" s="36">
        <f>U6*Допускания!$C$55</f>
        <v>3376.4500000000003</v>
      </c>
      <c r="V18" s="36">
        <f>V6*Допускания!$C$55</f>
        <v>4501.9333333333334</v>
      </c>
      <c r="W18" s="36">
        <f>W6*Допускания!$C$55</f>
        <v>2926.2566666666662</v>
      </c>
      <c r="X18" s="36">
        <f>X6*Допускания!$C$55</f>
        <v>2476.0633333333335</v>
      </c>
      <c r="Y18" s="36">
        <f>Y6*Допускания!$C$55</f>
        <v>1575.6766666666665</v>
      </c>
      <c r="Z18" s="36">
        <f>Z6*Допускания!$C$55</f>
        <v>675.29</v>
      </c>
      <c r="AA18" s="36">
        <f>AA6*Допускания!$C$55</f>
        <v>1061.17</v>
      </c>
      <c r="AB18" s="36">
        <f>AB6*Допускания!$C$55</f>
        <v>1414.8933333333334</v>
      </c>
      <c r="AC18" s="36">
        <f>AC6*Допускания!$C$55</f>
        <v>2829.7866666666669</v>
      </c>
      <c r="AD18" s="36">
        <f>AD6*Допускания!$C$55</f>
        <v>3537.2333333333336</v>
      </c>
      <c r="AE18" s="36">
        <f>AE6*Допускания!$C$55</f>
        <v>4244.68</v>
      </c>
      <c r="AF18" s="36">
        <f>AF6*Допускания!$C$55</f>
        <v>4952.126666666667</v>
      </c>
      <c r="AG18" s="36">
        <f>AG6*Допускания!$C$55</f>
        <v>5305.85</v>
      </c>
      <c r="AH18" s="36">
        <f>AH6*Допускания!$C$55</f>
        <v>7074.4666666666672</v>
      </c>
      <c r="AI18" s="36">
        <f>AI6*Допускания!$C$55</f>
        <v>4598.4033333333336</v>
      </c>
      <c r="AJ18" s="36">
        <f>AJ6*Допускания!$C$55</f>
        <v>3890.9566666666674</v>
      </c>
      <c r="AK18" s="36">
        <f>AK6*Допускания!$C$55</f>
        <v>2476.0633333333335</v>
      </c>
      <c r="AL18" s="36">
        <f>AL6*Допускания!$C$55</f>
        <v>1061.17</v>
      </c>
      <c r="AN18" s="19">
        <f t="shared" si="1"/>
        <v>18241.599999999999</v>
      </c>
      <c r="AO18" s="19">
        <f t="shared" si="2"/>
        <v>27011.599999999999</v>
      </c>
      <c r="AP18" s="19">
        <f t="shared" si="3"/>
        <v>42446.799999999996</v>
      </c>
    </row>
    <row r="19" spans="2:42" x14ac:dyDescent="0.25">
      <c r="B19" s="18" t="s">
        <v>252</v>
      </c>
      <c r="C19" s="19">
        <f t="shared" ref="C19:AL19" si="4">SUM(C13:C18)</f>
        <v>0</v>
      </c>
      <c r="D19" s="19">
        <f t="shared" si="4"/>
        <v>0</v>
      </c>
      <c r="E19" s="19">
        <f t="shared" si="4"/>
        <v>0</v>
      </c>
      <c r="F19" s="19">
        <f t="shared" si="4"/>
        <v>16406.123809523811</v>
      </c>
      <c r="G19" s="19">
        <f t="shared" si="4"/>
        <v>19691.770057142861</v>
      </c>
      <c r="H19" s="19">
        <f t="shared" si="4"/>
        <v>22978.265230019046</v>
      </c>
      <c r="I19" s="19">
        <f t="shared" si="4"/>
        <v>24624.990155797943</v>
      </c>
      <c r="J19" s="19">
        <f t="shared" si="4"/>
        <v>32834.557853599181</v>
      </c>
      <c r="K19" s="19">
        <f t="shared" si="4"/>
        <v>21358.935676484674</v>
      </c>
      <c r="L19" s="19">
        <f t="shared" si="4"/>
        <v>18083.211048215649</v>
      </c>
      <c r="M19" s="19">
        <f t="shared" si="4"/>
        <v>11525.333359829925</v>
      </c>
      <c r="N19" s="19">
        <f t="shared" si="4"/>
        <v>4965.6505024750959</v>
      </c>
      <c r="O19" s="19">
        <f t="shared" si="4"/>
        <v>5582.9442984552943</v>
      </c>
      <c r="P19" s="19">
        <f t="shared" si="4"/>
        <v>7430.2000507343182</v>
      </c>
      <c r="Q19" s="19">
        <f t="shared" si="4"/>
        <v>14816.121970328444</v>
      </c>
      <c r="R19" s="19">
        <f t="shared" si="4"/>
        <v>18512.01003456581</v>
      </c>
      <c r="S19" s="19">
        <f t="shared" si="4"/>
        <v>22208.909420955955</v>
      </c>
      <c r="T19" s="19">
        <f t="shared" si="4"/>
        <v>25906.812038921638</v>
      </c>
      <c r="U19" s="19">
        <f t="shared" si="4"/>
        <v>27759.658195943604</v>
      </c>
      <c r="V19" s="19">
        <f t="shared" si="4"/>
        <v>36997.177463709377</v>
      </c>
      <c r="W19" s="19">
        <f t="shared" si="4"/>
        <v>24084.622643999712</v>
      </c>
      <c r="X19" s="19">
        <f t="shared" si="4"/>
        <v>20398.602102847712</v>
      </c>
      <c r="Y19" s="19">
        <f t="shared" si="4"/>
        <v>13019.387966024931</v>
      </c>
      <c r="Z19" s="19">
        <f t="shared" si="4"/>
        <v>5638.0506889633998</v>
      </c>
      <c r="AA19" s="19">
        <f t="shared" si="4"/>
        <v>7827.0164234516933</v>
      </c>
      <c r="AB19" s="19">
        <f t="shared" si="4"/>
        <v>10403.89565206408</v>
      </c>
      <c r="AC19" s="19">
        <f t="shared" si="4"/>
        <v>20707.86496684757</v>
      </c>
      <c r="AD19" s="19">
        <f t="shared" si="4"/>
        <v>25863.888007112782</v>
      </c>
      <c r="AE19" s="19">
        <f t="shared" si="4"/>
        <v>31021.358103055885</v>
      </c>
      <c r="AF19" s="19">
        <f t="shared" si="4"/>
        <v>36180.263678231437</v>
      </c>
      <c r="AG19" s="19">
        <f t="shared" si="4"/>
        <v>38765.140748805585</v>
      </c>
      <c r="AH19" s="19">
        <f t="shared" si="4"/>
        <v>51652.496422815137</v>
      </c>
      <c r="AI19" s="19">
        <f t="shared" si="4"/>
        <v>33638.061351432618</v>
      </c>
      <c r="AJ19" s="19">
        <f t="shared" si="4"/>
        <v>28495.570920621161</v>
      </c>
      <c r="AK19" s="19">
        <f t="shared" si="4"/>
        <v>18200.620173256189</v>
      </c>
      <c r="AL19" s="19">
        <f t="shared" si="4"/>
        <v>7902.63855187014</v>
      </c>
      <c r="AN19" s="19">
        <f t="shared" si="1"/>
        <v>172468.83769308822</v>
      </c>
      <c r="AO19" s="19">
        <f t="shared" si="2"/>
        <v>222354.49687545016</v>
      </c>
      <c r="AP19" s="19">
        <f t="shared" si="3"/>
        <v>310658.81499956426</v>
      </c>
    </row>
    <row r="21" spans="2:42" x14ac:dyDescent="0.25">
      <c r="B21" s="18" t="s">
        <v>253</v>
      </c>
      <c r="C21" s="19">
        <f t="shared" ref="C21:AL21" si="5">C10-C19</f>
        <v>0</v>
      </c>
      <c r="D21" s="19">
        <f t="shared" si="5"/>
        <v>0</v>
      </c>
      <c r="E21" s="19">
        <f t="shared" si="5"/>
        <v>0</v>
      </c>
      <c r="F21" s="19">
        <f t="shared" si="5"/>
        <v>10505.361904761903</v>
      </c>
      <c r="G21" s="19">
        <f t="shared" si="5"/>
        <v>12615.768533333332</v>
      </c>
      <c r="H21" s="19">
        <f t="shared" si="5"/>
        <v>14727.967337447619</v>
      </c>
      <c r="I21" s="19">
        <f t="shared" si="5"/>
        <v>15791.407789224231</v>
      </c>
      <c r="J21" s="19">
        <f t="shared" si="5"/>
        <v>21057.823193577104</v>
      </c>
      <c r="K21" s="19">
        <f t="shared" si="5"/>
        <v>13722.361560409445</v>
      </c>
      <c r="L21" s="19">
        <f t="shared" si="5"/>
        <v>11632.900572688064</v>
      </c>
      <c r="M21" s="19">
        <f t="shared" si="5"/>
        <v>7440.4074633446544</v>
      </c>
      <c r="N21" s="19">
        <f t="shared" si="5"/>
        <v>3244.1034417331366</v>
      </c>
      <c r="O21" s="19">
        <f t="shared" si="5"/>
        <v>5016.4564356278433</v>
      </c>
      <c r="P21" s="19">
        <f t="shared" si="5"/>
        <v>6659.6321441428227</v>
      </c>
      <c r="Q21" s="19">
        <f t="shared" si="5"/>
        <v>13225.788233656345</v>
      </c>
      <c r="R21" s="19">
        <f t="shared" si="5"/>
        <v>16515.04572112043</v>
      </c>
      <c r="S21" s="19">
        <f t="shared" si="5"/>
        <v>19806.438222018136</v>
      </c>
      <c r="T21" s="19">
        <f t="shared" si="5"/>
        <v>23099.948656241988</v>
      </c>
      <c r="U21" s="19">
        <f t="shared" si="5"/>
        <v>24754.926330325379</v>
      </c>
      <c r="V21" s="19">
        <f t="shared" si="5"/>
        <v>32973.423719682774</v>
      </c>
      <c r="W21" s="19">
        <f t="shared" si="5"/>
        <v>21509.690813258647</v>
      </c>
      <c r="X21" s="19">
        <f t="shared" si="5"/>
        <v>18241.264763419254</v>
      </c>
      <c r="Y21" s="19">
        <f t="shared" si="5"/>
        <v>11689.26954864523</v>
      </c>
      <c r="Z21" s="19">
        <f t="shared" si="5"/>
        <v>5132.7921489227338</v>
      </c>
      <c r="AA21" s="19">
        <f t="shared" si="5"/>
        <v>8922.675921731352</v>
      </c>
      <c r="AB21" s="19">
        <f t="shared" si="5"/>
        <v>11829.079154357501</v>
      </c>
      <c r="AC21" s="19">
        <f t="shared" si="5"/>
        <v>23447.202707789307</v>
      </c>
      <c r="AD21" s="19">
        <f t="shared" si="5"/>
        <v>29264.789959460333</v>
      </c>
      <c r="AE21" s="19">
        <f t="shared" si="5"/>
        <v>35085.432106451306</v>
      </c>
      <c r="AF21" s="19">
        <f t="shared" si="5"/>
        <v>40909.104709599706</v>
      </c>
      <c r="AG21" s="19">
        <f t="shared" si="5"/>
        <v>43832.392275256236</v>
      </c>
      <c r="AH21" s="19">
        <f t="shared" si="5"/>
        <v>58370.656337054199</v>
      </c>
      <c r="AI21" s="19">
        <f t="shared" si="5"/>
        <v>38075.908269691099</v>
      </c>
      <c r="AJ21" s="19">
        <f t="shared" si="5"/>
        <v>32286.88986020023</v>
      </c>
      <c r="AK21" s="19">
        <f t="shared" si="5"/>
        <v>20687.805504651958</v>
      </c>
      <c r="AL21" s="19">
        <f t="shared" si="5"/>
        <v>9082.3226372814061</v>
      </c>
      <c r="AN21" s="19">
        <f>SUM(C21:N21)</f>
        <v>110738.10179651948</v>
      </c>
      <c r="AO21" s="19">
        <f>SUM(O21:Z21)</f>
        <v>198624.67673706161</v>
      </c>
      <c r="AP21" s="19">
        <f>SUM(AA21:AL21)</f>
        <v>351794.25944352464</v>
      </c>
    </row>
    <row r="22" spans="2:42" x14ac:dyDescent="0.25">
      <c r="B22" s="6" t="s">
        <v>254</v>
      </c>
      <c r="C22" s="29">
        <f t="shared" ref="C22:AL22" si="6">IF(C10=0,0,C21/C10)</f>
        <v>0</v>
      </c>
      <c r="D22" s="29">
        <f t="shared" si="6"/>
        <v>0</v>
      </c>
      <c r="E22" s="29">
        <f t="shared" si="6"/>
        <v>0</v>
      </c>
      <c r="F22" s="29">
        <f t="shared" si="6"/>
        <v>0.39036722150145831</v>
      </c>
      <c r="G22" s="29">
        <f t="shared" si="6"/>
        <v>0.3904899315682403</v>
      </c>
      <c r="H22" s="29">
        <f t="shared" si="6"/>
        <v>0.39059768994675603</v>
      </c>
      <c r="I22" s="29">
        <f t="shared" si="6"/>
        <v>0.39071784206759463</v>
      </c>
      <c r="J22" s="29">
        <f t="shared" si="6"/>
        <v>0.39073840836877327</v>
      </c>
      <c r="K22" s="29">
        <f t="shared" si="6"/>
        <v>0.39115889779520419</v>
      </c>
      <c r="L22" s="29">
        <f t="shared" si="6"/>
        <v>0.39146779097790618</v>
      </c>
      <c r="M22" s="29">
        <f t="shared" si="6"/>
        <v>0.39230776866111589</v>
      </c>
      <c r="N22" s="29">
        <f t="shared" si="6"/>
        <v>0.39515233511008779</v>
      </c>
      <c r="O22" s="29">
        <f t="shared" si="6"/>
        <v>0.47327736364349976</v>
      </c>
      <c r="P22" s="29">
        <f t="shared" si="6"/>
        <v>0.47265517800589341</v>
      </c>
      <c r="Q22" s="29">
        <f t="shared" si="6"/>
        <v>0.47164362689446687</v>
      </c>
      <c r="R22" s="29">
        <f t="shared" si="6"/>
        <v>0.47149397415280619</v>
      </c>
      <c r="S22" s="29">
        <f t="shared" si="6"/>
        <v>0.47140959989962661</v>
      </c>
      <c r="T22" s="29">
        <f t="shared" si="6"/>
        <v>0.47136248812547354</v>
      </c>
      <c r="U22" s="29">
        <f t="shared" si="6"/>
        <v>0.47139145351026068</v>
      </c>
      <c r="V22" s="29">
        <f t="shared" si="6"/>
        <v>0.47124682598138329</v>
      </c>
      <c r="W22" s="29">
        <f t="shared" si="6"/>
        <v>0.47176257700255875</v>
      </c>
      <c r="X22" s="29">
        <f t="shared" si="6"/>
        <v>0.47208404797440134</v>
      </c>
      <c r="Y22" s="29">
        <f t="shared" si="6"/>
        <v>0.47308396021536225</v>
      </c>
      <c r="Z22" s="29">
        <f t="shared" si="6"/>
        <v>0.47654507879998798</v>
      </c>
      <c r="AA22" s="29">
        <f t="shared" si="6"/>
        <v>0.53270685442156063</v>
      </c>
      <c r="AB22" s="29">
        <f t="shared" si="6"/>
        <v>0.53205112034494328</v>
      </c>
      <c r="AC22" s="29">
        <f t="shared" si="6"/>
        <v>0.53101951695699967</v>
      </c>
      <c r="AD22" s="29">
        <f t="shared" si="6"/>
        <v>0.53084512523962268</v>
      </c>
      <c r="AE22" s="29">
        <f t="shared" si="6"/>
        <v>0.53073870316888372</v>
      </c>
      <c r="AF22" s="29">
        <f t="shared" si="6"/>
        <v>0.53067116212171961</v>
      </c>
      <c r="AG22" s="29">
        <f t="shared" si="6"/>
        <v>0.53067435152678522</v>
      </c>
      <c r="AH22" s="29">
        <f t="shared" si="6"/>
        <v>0.53053066443615626</v>
      </c>
      <c r="AI22" s="29">
        <f t="shared" si="6"/>
        <v>0.53094130015186947</v>
      </c>
      <c r="AJ22" s="29">
        <f t="shared" si="6"/>
        <v>0.53118760651407637</v>
      </c>
      <c r="AK22" s="29">
        <f t="shared" si="6"/>
        <v>0.53197847801805842</v>
      </c>
      <c r="AL22" s="29">
        <f t="shared" si="6"/>
        <v>0.53472731177521748</v>
      </c>
      <c r="AN22" s="28">
        <f>IF(AN10=0,0,AN21/AN10)</f>
        <v>0.39101478938365858</v>
      </c>
      <c r="AO22" s="28">
        <f>IF(AO10=0,0,AO21/AO10)</f>
        <v>0.47181592151607177</v>
      </c>
      <c r="AP22" s="28">
        <f>IF(AP10=0,0,AP21/AP10)</f>
        <v>0.53104781759714992</v>
      </c>
    </row>
    <row r="24" spans="2:42" x14ac:dyDescent="0.25">
      <c r="B24" s="4" t="s">
        <v>255</v>
      </c>
    </row>
    <row r="25" spans="2:42" x14ac:dyDescent="0.25">
      <c r="B25" s="9" t="s">
        <v>256</v>
      </c>
      <c r="C25" s="25">
        <f>IF(Обеми!C8=0,0,IF(Обеми!C$5=1,Допускания!$C$73,IF(Обеми!C$5=2,Допускания!$D$73,Допускания!$E$73)))</f>
        <v>0</v>
      </c>
      <c r="D25" s="25">
        <f>IF(Обеми!D8=0,0,IF(Обеми!D$5=1,Допускания!$C$73,IF(Обеми!D$5=2,Допускания!$D$73,Допускания!$E$73)))</f>
        <v>0</v>
      </c>
      <c r="E25" s="25">
        <f>IF(Обеми!E8=0,0,IF(Обеми!E$5=1,Допускания!$C$73,IF(Обеми!E$5=2,Допускания!$D$73,Допускания!$E$73)))</f>
        <v>0</v>
      </c>
      <c r="F25" s="25">
        <f>IF(Обеми!F8=0,0,IF(Обеми!F$5=1,Допускания!$C$73,IF(Обеми!F$5=2,Допускания!$D$73,Допускания!$E$73)))</f>
        <v>2500</v>
      </c>
      <c r="G25" s="25">
        <f>IF(Обеми!G8=0,0,IF(Обеми!G$5=1,Допускания!$C$73,IF(Обеми!G$5=2,Допускания!$D$73,Допускания!$E$73)))</f>
        <v>2500</v>
      </c>
      <c r="H25" s="25">
        <f>IF(Обеми!H8=0,0,IF(Обеми!H$5=1,Допускания!$C$73,IF(Обеми!H$5=2,Допускания!$D$73,Допускания!$E$73)))</f>
        <v>2500</v>
      </c>
      <c r="I25" s="25">
        <f>IF(Обеми!I8=0,0,IF(Обеми!I$5=1,Допускания!$C$73,IF(Обеми!I$5=2,Допускания!$D$73,Допускания!$E$73)))</f>
        <v>2500</v>
      </c>
      <c r="J25" s="25">
        <f>IF(Обеми!J8=0,0,IF(Обеми!J$5=1,Допускания!$C$73,IF(Обеми!J$5=2,Допускания!$D$73,Допускания!$E$73)))</f>
        <v>2500</v>
      </c>
      <c r="K25" s="25">
        <f>IF(Обеми!K8=0,0,IF(Обеми!K$5=1,Допускания!$C$73,IF(Обеми!K$5=2,Допускания!$D$73,Допускания!$E$73)))</f>
        <v>2500</v>
      </c>
      <c r="L25" s="25">
        <f>IF(Обеми!L8=0,0,IF(Обеми!L$5=1,Допускания!$C$73,IF(Обеми!L$5=2,Допускания!$D$73,Допускания!$E$73)))</f>
        <v>2500</v>
      </c>
      <c r="M25" s="25">
        <f>IF(Обеми!M8=0,0,IF(Обеми!M$5=1,Допускания!$C$73,IF(Обеми!M$5=2,Допускания!$D$73,Допускания!$E$73)))</f>
        <v>2500</v>
      </c>
      <c r="N25" s="25">
        <f>IF(Обеми!N8=0,0,IF(Обеми!N$5=1,Допускания!$C$73,IF(Обеми!N$5=2,Допускания!$D$73,Допускания!$E$73)))</f>
        <v>2500</v>
      </c>
      <c r="O25" s="25">
        <f>IF(Обеми!O8=0,0,IF(Обеми!O$5=1,Допускания!$C$73,IF(Обеми!O$5=2,Допускания!$D$73,Допускания!$E$73)))</f>
        <v>5000</v>
      </c>
      <c r="P25" s="25">
        <f>IF(Обеми!P8=0,0,IF(Обеми!P$5=1,Допускания!$C$73,IF(Обеми!P$5=2,Допускания!$D$73,Допускания!$E$73)))</f>
        <v>5000</v>
      </c>
      <c r="Q25" s="25">
        <f>IF(Обеми!Q8=0,0,IF(Обеми!Q$5=1,Допускания!$C$73,IF(Обеми!Q$5=2,Допускания!$D$73,Допускания!$E$73)))</f>
        <v>5000</v>
      </c>
      <c r="R25" s="25">
        <f>IF(Обеми!R8=0,0,IF(Обеми!R$5=1,Допускания!$C$73,IF(Обеми!R$5=2,Допускания!$D$73,Допускания!$E$73)))</f>
        <v>5000</v>
      </c>
      <c r="S25" s="25">
        <f>IF(Обеми!S8=0,0,IF(Обеми!S$5=1,Допускания!$C$73,IF(Обеми!S$5=2,Допускания!$D$73,Допускания!$E$73)))</f>
        <v>5000</v>
      </c>
      <c r="T25" s="25">
        <f>IF(Обеми!T8=0,0,IF(Обеми!T$5=1,Допускания!$C$73,IF(Обеми!T$5=2,Допускания!$D$73,Допускания!$E$73)))</f>
        <v>5000</v>
      </c>
      <c r="U25" s="25">
        <f>IF(Обеми!U8=0,0,IF(Обеми!U$5=1,Допускания!$C$73,IF(Обеми!U$5=2,Допускания!$D$73,Допускания!$E$73)))</f>
        <v>5000</v>
      </c>
      <c r="V25" s="25">
        <f>IF(Обеми!V8=0,0,IF(Обеми!V$5=1,Допускания!$C$73,IF(Обеми!V$5=2,Допускания!$D$73,Допускания!$E$73)))</f>
        <v>5000</v>
      </c>
      <c r="W25" s="25">
        <f>IF(Обеми!W8=0,0,IF(Обеми!W$5=1,Допускания!$C$73,IF(Обеми!W$5=2,Допускания!$D$73,Допускания!$E$73)))</f>
        <v>5000</v>
      </c>
      <c r="X25" s="25">
        <f>IF(Обеми!X8=0,0,IF(Обеми!X$5=1,Допускания!$C$73,IF(Обеми!X$5=2,Допускания!$D$73,Допускания!$E$73)))</f>
        <v>5000</v>
      </c>
      <c r="Y25" s="25">
        <f>IF(Обеми!Y8=0,0,IF(Обеми!Y$5=1,Допускания!$C$73,IF(Обеми!Y$5=2,Допускания!$D$73,Допускания!$E$73)))</f>
        <v>5000</v>
      </c>
      <c r="Z25" s="25">
        <f>IF(Обеми!Z8=0,0,IF(Обеми!Z$5=1,Допускания!$C$73,IF(Обеми!Z$5=2,Допускания!$D$73,Допускания!$E$73)))</f>
        <v>5000</v>
      </c>
      <c r="AA25" s="25">
        <f>IF(Обеми!AA8=0,0,IF(Обеми!AA$5=1,Допускания!$C$73,IF(Обеми!AA$5=2,Допускания!$D$73,Допускания!$E$73)))</f>
        <v>10100</v>
      </c>
      <c r="AB25" s="25">
        <f>IF(Обеми!AB8=0,0,IF(Обеми!AB$5=1,Допускания!$C$73,IF(Обеми!AB$5=2,Допускания!$D$73,Допускания!$E$73)))</f>
        <v>10100</v>
      </c>
      <c r="AC25" s="25">
        <f>IF(Обеми!AC8=0,0,IF(Обеми!AC$5=1,Допускания!$C$73,IF(Обеми!AC$5=2,Допускания!$D$73,Допускания!$E$73)))</f>
        <v>10100</v>
      </c>
      <c r="AD25" s="25">
        <f>IF(Обеми!AD8=0,0,IF(Обеми!AD$5=1,Допускания!$C$73,IF(Обеми!AD$5=2,Допускания!$D$73,Допускания!$E$73)))</f>
        <v>10100</v>
      </c>
      <c r="AE25" s="25">
        <f>IF(Обеми!AE8=0,0,IF(Обеми!AE$5=1,Допускания!$C$73,IF(Обеми!AE$5=2,Допускания!$D$73,Допускания!$E$73)))</f>
        <v>10100</v>
      </c>
      <c r="AF25" s="25">
        <f>IF(Обеми!AF8=0,0,IF(Обеми!AF$5=1,Допускания!$C$73,IF(Обеми!AF$5=2,Допускания!$D$73,Допускания!$E$73)))</f>
        <v>10100</v>
      </c>
      <c r="AG25" s="25">
        <f>IF(Обеми!AG8=0,0,IF(Обеми!AG$5=1,Допускания!$C$73,IF(Обеми!AG$5=2,Допускания!$D$73,Допускания!$E$73)))</f>
        <v>10100</v>
      </c>
      <c r="AH25" s="25">
        <f>IF(Обеми!AH8=0,0,IF(Обеми!AH$5=1,Допускания!$C$73,IF(Обеми!AH$5=2,Допускания!$D$73,Допускания!$E$73)))</f>
        <v>10100</v>
      </c>
      <c r="AI25" s="25">
        <f>IF(Обеми!AI8=0,0,IF(Обеми!AI$5=1,Допускания!$C$73,IF(Обеми!AI$5=2,Допускания!$D$73,Допускания!$E$73)))</f>
        <v>10100</v>
      </c>
      <c r="AJ25" s="25">
        <f>IF(Обеми!AJ8=0,0,IF(Обеми!AJ$5=1,Допускания!$C$73,IF(Обеми!AJ$5=2,Допускания!$D$73,Допускания!$E$73)))</f>
        <v>10100</v>
      </c>
      <c r="AK25" s="25">
        <f>IF(Обеми!AK8=0,0,IF(Обеми!AK$5=1,Допускания!$C$73,IF(Обеми!AK$5=2,Допускания!$D$73,Допускания!$E$73)))</f>
        <v>10100</v>
      </c>
      <c r="AL25" s="25">
        <f>IF(Обеми!AL8=0,0,IF(Обеми!AL$5=1,Допускания!$C$73,IF(Обеми!AL$5=2,Допускания!$D$73,Допускания!$E$73)))</f>
        <v>10100</v>
      </c>
      <c r="AN25" s="19">
        <f>SUM(C25:N25)</f>
        <v>22500</v>
      </c>
      <c r="AO25" s="19">
        <f>SUM(O25:Z25)</f>
        <v>60000</v>
      </c>
      <c r="AP25" s="19">
        <f>SUM(AA25:AL25)</f>
        <v>121200</v>
      </c>
    </row>
    <row r="26" spans="2:42" x14ac:dyDescent="0.25">
      <c r="B26" s="9" t="s">
        <v>158</v>
      </c>
      <c r="C26" s="25">
        <f>C25*IF(Обеми!C$5=1,Допускания!$C$74,IF(Обеми!C$5=2,Допускания!$D$74,Допускания!$E$74))</f>
        <v>0</v>
      </c>
      <c r="D26" s="25">
        <f>D25*IF(Обеми!D$5=1,Допускания!$C$74,IF(Обеми!D$5=2,Допускания!$D$74,Допускания!$E$74))</f>
        <v>0</v>
      </c>
      <c r="E26" s="25">
        <f>E25*IF(Обеми!E$5=1,Допускания!$C$74,IF(Обеми!E$5=2,Допускания!$D$74,Допускания!$E$74))</f>
        <v>0</v>
      </c>
      <c r="F26" s="25">
        <f>F25*IF(Обеми!F$5=1,Допускания!$C$74,IF(Обеми!F$5=2,Допускания!$D$74,Допускания!$E$74))</f>
        <v>475</v>
      </c>
      <c r="G26" s="25">
        <f>G25*IF(Обеми!G$5=1,Допускания!$C$74,IF(Обеми!G$5=2,Допускания!$D$74,Допускания!$E$74))</f>
        <v>475</v>
      </c>
      <c r="H26" s="25">
        <f>H25*IF(Обеми!H$5=1,Допускания!$C$74,IF(Обеми!H$5=2,Допускания!$D$74,Допускания!$E$74))</f>
        <v>475</v>
      </c>
      <c r="I26" s="25">
        <f>I25*IF(Обеми!I$5=1,Допускания!$C$74,IF(Обеми!I$5=2,Допускания!$D$74,Допускания!$E$74))</f>
        <v>475</v>
      </c>
      <c r="J26" s="25">
        <f>J25*IF(Обеми!J$5=1,Допускания!$C$74,IF(Обеми!J$5=2,Допускания!$D$74,Допускания!$E$74))</f>
        <v>475</v>
      </c>
      <c r="K26" s="25">
        <f>K25*IF(Обеми!K$5=1,Допускания!$C$74,IF(Обеми!K$5=2,Допускания!$D$74,Допускания!$E$74))</f>
        <v>475</v>
      </c>
      <c r="L26" s="25">
        <f>L25*IF(Обеми!L$5=1,Допускания!$C$74,IF(Обеми!L$5=2,Допускания!$D$74,Допускания!$E$74))</f>
        <v>475</v>
      </c>
      <c r="M26" s="25">
        <f>M25*IF(Обеми!M$5=1,Допускания!$C$74,IF(Обеми!M$5=2,Допускания!$D$74,Допускания!$E$74))</f>
        <v>475</v>
      </c>
      <c r="N26" s="25">
        <f>N25*IF(Обеми!N$5=1,Допускания!$C$74,IF(Обеми!N$5=2,Допускания!$D$74,Допускания!$E$74))</f>
        <v>475</v>
      </c>
      <c r="O26" s="25">
        <f>O25*IF(Обеми!O$5=1,Допускания!$C$74,IF(Обеми!O$5=2,Допускания!$D$74,Допускания!$E$74))</f>
        <v>950</v>
      </c>
      <c r="P26" s="25">
        <f>P25*IF(Обеми!P$5=1,Допускания!$C$74,IF(Обеми!P$5=2,Допускания!$D$74,Допускания!$E$74))</f>
        <v>950</v>
      </c>
      <c r="Q26" s="25">
        <f>Q25*IF(Обеми!Q$5=1,Допускания!$C$74,IF(Обеми!Q$5=2,Допускания!$D$74,Допускания!$E$74))</f>
        <v>950</v>
      </c>
      <c r="R26" s="25">
        <f>R25*IF(Обеми!R$5=1,Допускания!$C$74,IF(Обеми!R$5=2,Допускания!$D$74,Допускания!$E$74))</f>
        <v>950</v>
      </c>
      <c r="S26" s="25">
        <f>S25*IF(Обеми!S$5=1,Допускания!$C$74,IF(Обеми!S$5=2,Допускания!$D$74,Допускания!$E$74))</f>
        <v>950</v>
      </c>
      <c r="T26" s="25">
        <f>T25*IF(Обеми!T$5=1,Допускания!$C$74,IF(Обеми!T$5=2,Допускания!$D$74,Допускания!$E$74))</f>
        <v>950</v>
      </c>
      <c r="U26" s="25">
        <f>U25*IF(Обеми!U$5=1,Допускания!$C$74,IF(Обеми!U$5=2,Допускания!$D$74,Допускания!$E$74))</f>
        <v>950</v>
      </c>
      <c r="V26" s="25">
        <f>V25*IF(Обеми!V$5=1,Допускания!$C$74,IF(Обеми!V$5=2,Допускания!$D$74,Допускания!$E$74))</f>
        <v>950</v>
      </c>
      <c r="W26" s="25">
        <f>W25*IF(Обеми!W$5=1,Допускания!$C$74,IF(Обеми!W$5=2,Допускания!$D$74,Допускания!$E$74))</f>
        <v>950</v>
      </c>
      <c r="X26" s="25">
        <f>X25*IF(Обеми!X$5=1,Допускания!$C$74,IF(Обеми!X$5=2,Допускания!$D$74,Допускания!$E$74))</f>
        <v>950</v>
      </c>
      <c r="Y26" s="25">
        <f>Y25*IF(Обеми!Y$5=1,Допускания!$C$74,IF(Обеми!Y$5=2,Допускания!$D$74,Допускания!$E$74))</f>
        <v>950</v>
      </c>
      <c r="Z26" s="25">
        <f>Z25*IF(Обеми!Z$5=1,Допускания!$C$74,IF(Обеми!Z$5=2,Допускания!$D$74,Допускания!$E$74))</f>
        <v>950</v>
      </c>
      <c r="AA26" s="25">
        <f>AA25*IF(Обеми!AA$5=1,Допускания!$C$74,IF(Обеми!AA$5=2,Допускания!$D$74,Допускания!$E$74))</f>
        <v>1919</v>
      </c>
      <c r="AB26" s="25">
        <f>AB25*IF(Обеми!AB$5=1,Допускания!$C$74,IF(Обеми!AB$5=2,Допускания!$D$74,Допускания!$E$74))</f>
        <v>1919</v>
      </c>
      <c r="AC26" s="25">
        <f>AC25*IF(Обеми!AC$5=1,Допускания!$C$74,IF(Обеми!AC$5=2,Допускания!$D$74,Допускания!$E$74))</f>
        <v>1919</v>
      </c>
      <c r="AD26" s="25">
        <f>AD25*IF(Обеми!AD$5=1,Допускания!$C$74,IF(Обеми!AD$5=2,Допускания!$D$74,Допускания!$E$74))</f>
        <v>1919</v>
      </c>
      <c r="AE26" s="25">
        <f>AE25*IF(Обеми!AE$5=1,Допускания!$C$74,IF(Обеми!AE$5=2,Допускания!$D$74,Допускания!$E$74))</f>
        <v>1919</v>
      </c>
      <c r="AF26" s="25">
        <f>AF25*IF(Обеми!AF$5=1,Допускания!$C$74,IF(Обеми!AF$5=2,Допускания!$D$74,Допускания!$E$74))</f>
        <v>1919</v>
      </c>
      <c r="AG26" s="25">
        <f>AG25*IF(Обеми!AG$5=1,Допускания!$C$74,IF(Обеми!AG$5=2,Допускания!$D$74,Допускания!$E$74))</f>
        <v>1919</v>
      </c>
      <c r="AH26" s="25">
        <f>AH25*IF(Обеми!AH$5=1,Допускания!$C$74,IF(Обеми!AH$5=2,Допускания!$D$74,Допускания!$E$74))</f>
        <v>1919</v>
      </c>
      <c r="AI26" s="25">
        <f>AI25*IF(Обеми!AI$5=1,Допускания!$C$74,IF(Обеми!AI$5=2,Допускания!$D$74,Допускания!$E$74))</f>
        <v>1919</v>
      </c>
      <c r="AJ26" s="25">
        <f>AJ25*IF(Обеми!AJ$5=1,Допускания!$C$74,IF(Обеми!AJ$5=2,Допускания!$D$74,Допускания!$E$74))</f>
        <v>1919</v>
      </c>
      <c r="AK26" s="25">
        <f>AK25*IF(Обеми!AK$5=1,Допускания!$C$74,IF(Обеми!AK$5=2,Допускания!$D$74,Допускания!$E$74))</f>
        <v>1919</v>
      </c>
      <c r="AL26" s="25">
        <f>AL25*IF(Обеми!AL$5=1,Допускания!$C$74,IF(Обеми!AL$5=2,Допускания!$D$74,Допускания!$E$74))</f>
        <v>1919</v>
      </c>
      <c r="AN26" s="19">
        <f>SUM(C26:N26)</f>
        <v>4275</v>
      </c>
      <c r="AO26" s="19">
        <f>SUM(O26:Z26)</f>
        <v>11400</v>
      </c>
      <c r="AP26" s="19">
        <f>SUM(AA26:AL26)</f>
        <v>23028</v>
      </c>
    </row>
    <row r="27" spans="2:42" x14ac:dyDescent="0.25">
      <c r="B27" s="9" t="s">
        <v>257</v>
      </c>
      <c r="C27" s="25">
        <f>IF(Обеми!C$5=1,Допускания!$C$82,IF(Обеми!C$5=2,Допускания!$D$82,Допускания!$E$82))</f>
        <v>3030</v>
      </c>
      <c r="D27" s="25">
        <f>IF(Обеми!D$5=1,Допускания!$C$82,IF(Обеми!D$5=2,Допускания!$D$82,Допускания!$E$82))</f>
        <v>3030</v>
      </c>
      <c r="E27" s="25">
        <f>IF(Обеми!E$5=1,Допускания!$C$82,IF(Обеми!E$5=2,Допускания!$D$82,Допускания!$E$82))</f>
        <v>3030</v>
      </c>
      <c r="F27" s="25">
        <f>IF(Обеми!F$5=1,Допускания!$C$82,IF(Обеми!F$5=2,Допускания!$D$82,Допускания!$E$82))</f>
        <v>3030</v>
      </c>
      <c r="G27" s="25">
        <f>IF(Обеми!G$5=1,Допускания!$C$82,IF(Обеми!G$5=2,Допускания!$D$82,Допускания!$E$82))</f>
        <v>3030</v>
      </c>
      <c r="H27" s="25">
        <f>IF(Обеми!H$5=1,Допускания!$C$82,IF(Обеми!H$5=2,Допускания!$D$82,Допускания!$E$82))</f>
        <v>3030</v>
      </c>
      <c r="I27" s="25">
        <f>IF(Обеми!I$5=1,Допускания!$C$82,IF(Обеми!I$5=2,Допускания!$D$82,Допускания!$E$82))</f>
        <v>3030</v>
      </c>
      <c r="J27" s="25">
        <f>IF(Обеми!J$5=1,Допускания!$C$82,IF(Обеми!J$5=2,Допускания!$D$82,Допускания!$E$82))</f>
        <v>3030</v>
      </c>
      <c r="K27" s="25">
        <f>IF(Обеми!K$5=1,Допускания!$C$82,IF(Обеми!K$5=2,Допускания!$D$82,Допускания!$E$82))</f>
        <v>3030</v>
      </c>
      <c r="L27" s="25">
        <f>IF(Обеми!L$5=1,Допускания!$C$82,IF(Обеми!L$5=2,Допускания!$D$82,Допускания!$E$82))</f>
        <v>3030</v>
      </c>
      <c r="M27" s="25">
        <f>IF(Обеми!M$5=1,Допускания!$C$82,IF(Обеми!M$5=2,Допускания!$D$82,Допускания!$E$82))</f>
        <v>3030</v>
      </c>
      <c r="N27" s="25">
        <f>IF(Обеми!N$5=1,Допускания!$C$82,IF(Обеми!N$5=2,Допускания!$D$82,Допускания!$E$82))</f>
        <v>3030</v>
      </c>
      <c r="O27" s="25">
        <f>IF(Обеми!O$5=1,Допускания!$C$82,IF(Обеми!O$5=2,Допускания!$D$82,Допускания!$E$82))</f>
        <v>4400</v>
      </c>
      <c r="P27" s="25">
        <f>IF(Обеми!P$5=1,Допускания!$C$82,IF(Обеми!P$5=2,Допускания!$D$82,Допускания!$E$82))</f>
        <v>4400</v>
      </c>
      <c r="Q27" s="25">
        <f>IF(Обеми!Q$5=1,Допускания!$C$82,IF(Обеми!Q$5=2,Допускания!$D$82,Допускания!$E$82))</f>
        <v>4400</v>
      </c>
      <c r="R27" s="25">
        <f>IF(Обеми!R$5=1,Допускания!$C$82,IF(Обеми!R$5=2,Допускания!$D$82,Допускания!$E$82))</f>
        <v>4400</v>
      </c>
      <c r="S27" s="25">
        <f>IF(Обеми!S$5=1,Допускания!$C$82,IF(Обеми!S$5=2,Допускания!$D$82,Допускания!$E$82))</f>
        <v>4400</v>
      </c>
      <c r="T27" s="25">
        <f>IF(Обеми!T$5=1,Допускания!$C$82,IF(Обеми!T$5=2,Допускания!$D$82,Допускания!$E$82))</f>
        <v>4400</v>
      </c>
      <c r="U27" s="25">
        <f>IF(Обеми!U$5=1,Допускания!$C$82,IF(Обеми!U$5=2,Допускания!$D$82,Допускания!$E$82))</f>
        <v>4400</v>
      </c>
      <c r="V27" s="25">
        <f>IF(Обеми!V$5=1,Допускания!$C$82,IF(Обеми!V$5=2,Допускания!$D$82,Допускания!$E$82))</f>
        <v>4400</v>
      </c>
      <c r="W27" s="25">
        <f>IF(Обеми!W$5=1,Допускания!$C$82,IF(Обеми!W$5=2,Допускания!$D$82,Допускания!$E$82))</f>
        <v>4400</v>
      </c>
      <c r="X27" s="25">
        <f>IF(Обеми!X$5=1,Допускания!$C$82,IF(Обеми!X$5=2,Допускания!$D$82,Допускания!$E$82))</f>
        <v>4400</v>
      </c>
      <c r="Y27" s="25">
        <f>IF(Обеми!Y$5=1,Допускания!$C$82,IF(Обеми!Y$5=2,Допускания!$D$82,Допускания!$E$82))</f>
        <v>4400</v>
      </c>
      <c r="Z27" s="25">
        <f>IF(Обеми!Z$5=1,Допускания!$C$82,IF(Обеми!Z$5=2,Допускания!$D$82,Допускания!$E$82))</f>
        <v>4400</v>
      </c>
      <c r="AA27" s="25">
        <f>IF(Обеми!AA$5=1,Допускания!$C$82,IF(Обеми!AA$5=2,Допускания!$D$82,Допускания!$E$82))</f>
        <v>5830</v>
      </c>
      <c r="AB27" s="25">
        <f>IF(Обеми!AB$5=1,Допускания!$C$82,IF(Обеми!AB$5=2,Допускания!$D$82,Допускания!$E$82))</f>
        <v>5830</v>
      </c>
      <c r="AC27" s="25">
        <f>IF(Обеми!AC$5=1,Допускания!$C$82,IF(Обеми!AC$5=2,Допускания!$D$82,Допускания!$E$82))</f>
        <v>5830</v>
      </c>
      <c r="AD27" s="25">
        <f>IF(Обеми!AD$5=1,Допускания!$C$82,IF(Обеми!AD$5=2,Допускания!$D$82,Допускания!$E$82))</f>
        <v>5830</v>
      </c>
      <c r="AE27" s="25">
        <f>IF(Обеми!AE$5=1,Допускания!$C$82,IF(Обеми!AE$5=2,Допускания!$D$82,Допускания!$E$82))</f>
        <v>5830</v>
      </c>
      <c r="AF27" s="25">
        <f>IF(Обеми!AF$5=1,Допускания!$C$82,IF(Обеми!AF$5=2,Допускания!$D$82,Допускания!$E$82))</f>
        <v>5830</v>
      </c>
      <c r="AG27" s="25">
        <f>IF(Обеми!AG$5=1,Допускания!$C$82,IF(Обеми!AG$5=2,Допускания!$D$82,Допускания!$E$82))</f>
        <v>5830</v>
      </c>
      <c r="AH27" s="25">
        <f>IF(Обеми!AH$5=1,Допускания!$C$82,IF(Обеми!AH$5=2,Допускания!$D$82,Допускания!$E$82))</f>
        <v>5830</v>
      </c>
      <c r="AI27" s="25">
        <f>IF(Обеми!AI$5=1,Допускания!$C$82,IF(Обеми!AI$5=2,Допускания!$D$82,Допускания!$E$82))</f>
        <v>5830</v>
      </c>
      <c r="AJ27" s="25">
        <f>IF(Обеми!AJ$5=1,Допускания!$C$82,IF(Обеми!AJ$5=2,Допускания!$D$82,Допускания!$E$82))</f>
        <v>5830</v>
      </c>
      <c r="AK27" s="25">
        <f>IF(Обеми!AK$5=1,Допускания!$C$82,IF(Обеми!AK$5=2,Допускания!$D$82,Допускания!$E$82))</f>
        <v>5830</v>
      </c>
      <c r="AL27" s="25">
        <f>IF(Обеми!AL$5=1,Допускания!$C$82,IF(Обеми!AL$5=2,Допускания!$D$82,Допускания!$E$82))</f>
        <v>5830</v>
      </c>
      <c r="AN27" s="19">
        <f>SUM(C27:N27)</f>
        <v>36360</v>
      </c>
      <c r="AO27" s="19">
        <f>SUM(O27:Z27)</f>
        <v>52800</v>
      </c>
      <c r="AP27" s="19">
        <f>SUM(AA27:AL27)</f>
        <v>69960</v>
      </c>
    </row>
    <row r="28" spans="2:42" x14ac:dyDescent="0.25">
      <c r="B28" s="18" t="s">
        <v>258</v>
      </c>
      <c r="C28" s="19">
        <f t="shared" ref="C28:AL28" si="7">C25+C26+C27</f>
        <v>3030</v>
      </c>
      <c r="D28" s="19">
        <f t="shared" si="7"/>
        <v>3030</v>
      </c>
      <c r="E28" s="19">
        <f t="shared" si="7"/>
        <v>3030</v>
      </c>
      <c r="F28" s="19">
        <f t="shared" si="7"/>
        <v>6005</v>
      </c>
      <c r="G28" s="19">
        <f t="shared" si="7"/>
        <v>6005</v>
      </c>
      <c r="H28" s="19">
        <f t="shared" si="7"/>
        <v>6005</v>
      </c>
      <c r="I28" s="19">
        <f t="shared" si="7"/>
        <v>6005</v>
      </c>
      <c r="J28" s="19">
        <f t="shared" si="7"/>
        <v>6005</v>
      </c>
      <c r="K28" s="19">
        <f t="shared" si="7"/>
        <v>6005</v>
      </c>
      <c r="L28" s="19">
        <f t="shared" si="7"/>
        <v>6005</v>
      </c>
      <c r="M28" s="19">
        <f t="shared" si="7"/>
        <v>6005</v>
      </c>
      <c r="N28" s="19">
        <f t="shared" si="7"/>
        <v>6005</v>
      </c>
      <c r="O28" s="19">
        <f t="shared" si="7"/>
        <v>10350</v>
      </c>
      <c r="P28" s="19">
        <f t="shared" si="7"/>
        <v>10350</v>
      </c>
      <c r="Q28" s="19">
        <f t="shared" si="7"/>
        <v>10350</v>
      </c>
      <c r="R28" s="19">
        <f t="shared" si="7"/>
        <v>10350</v>
      </c>
      <c r="S28" s="19">
        <f t="shared" si="7"/>
        <v>10350</v>
      </c>
      <c r="T28" s="19">
        <f t="shared" si="7"/>
        <v>10350</v>
      </c>
      <c r="U28" s="19">
        <f t="shared" si="7"/>
        <v>10350</v>
      </c>
      <c r="V28" s="19">
        <f t="shared" si="7"/>
        <v>10350</v>
      </c>
      <c r="W28" s="19">
        <f t="shared" si="7"/>
        <v>10350</v>
      </c>
      <c r="X28" s="19">
        <f t="shared" si="7"/>
        <v>10350</v>
      </c>
      <c r="Y28" s="19">
        <f t="shared" si="7"/>
        <v>10350</v>
      </c>
      <c r="Z28" s="19">
        <f t="shared" si="7"/>
        <v>10350</v>
      </c>
      <c r="AA28" s="19">
        <f t="shared" si="7"/>
        <v>17849</v>
      </c>
      <c r="AB28" s="19">
        <f t="shared" si="7"/>
        <v>17849</v>
      </c>
      <c r="AC28" s="19">
        <f t="shared" si="7"/>
        <v>17849</v>
      </c>
      <c r="AD28" s="19">
        <f t="shared" si="7"/>
        <v>17849</v>
      </c>
      <c r="AE28" s="19">
        <f t="shared" si="7"/>
        <v>17849</v>
      </c>
      <c r="AF28" s="19">
        <f t="shared" si="7"/>
        <v>17849</v>
      </c>
      <c r="AG28" s="19">
        <f t="shared" si="7"/>
        <v>17849</v>
      </c>
      <c r="AH28" s="19">
        <f t="shared" si="7"/>
        <v>17849</v>
      </c>
      <c r="AI28" s="19">
        <f t="shared" si="7"/>
        <v>17849</v>
      </c>
      <c r="AJ28" s="19">
        <f t="shared" si="7"/>
        <v>17849</v>
      </c>
      <c r="AK28" s="19">
        <f t="shared" si="7"/>
        <v>17849</v>
      </c>
      <c r="AL28" s="19">
        <f t="shared" si="7"/>
        <v>17849</v>
      </c>
      <c r="AN28" s="19">
        <f>SUM(C28:N28)</f>
        <v>63135</v>
      </c>
      <c r="AO28" s="19">
        <f>SUM(O28:Z28)</f>
        <v>124200</v>
      </c>
      <c r="AP28" s="19">
        <f>SUM(AA28:AL28)</f>
        <v>214188</v>
      </c>
    </row>
    <row r="30" spans="2:42" x14ac:dyDescent="0.25">
      <c r="B30" s="18" t="s">
        <v>259</v>
      </c>
      <c r="C30" s="19">
        <f t="shared" ref="C30:AL30" si="8">C21-C28</f>
        <v>-3030</v>
      </c>
      <c r="D30" s="19">
        <f t="shared" si="8"/>
        <v>-3030</v>
      </c>
      <c r="E30" s="19">
        <f t="shared" si="8"/>
        <v>-3030</v>
      </c>
      <c r="F30" s="19">
        <f t="shared" si="8"/>
        <v>4500.3619047619031</v>
      </c>
      <c r="G30" s="19">
        <f t="shared" si="8"/>
        <v>6610.768533333332</v>
      </c>
      <c r="H30" s="19">
        <f t="shared" si="8"/>
        <v>8722.9673374476188</v>
      </c>
      <c r="I30" s="19">
        <f t="shared" si="8"/>
        <v>9786.4077892242312</v>
      </c>
      <c r="J30" s="19">
        <f t="shared" si="8"/>
        <v>15052.823193577104</v>
      </c>
      <c r="K30" s="19">
        <f t="shared" si="8"/>
        <v>7717.3615604094448</v>
      </c>
      <c r="L30" s="19">
        <f t="shared" si="8"/>
        <v>5627.9005726880641</v>
      </c>
      <c r="M30" s="19">
        <f t="shared" si="8"/>
        <v>1435.4074633446544</v>
      </c>
      <c r="N30" s="19">
        <f t="shared" si="8"/>
        <v>-2760.8965582668634</v>
      </c>
      <c r="O30" s="19">
        <f t="shared" si="8"/>
        <v>-5333.5435643721567</v>
      </c>
      <c r="P30" s="19">
        <f t="shared" si="8"/>
        <v>-3690.3678558571773</v>
      </c>
      <c r="Q30" s="19">
        <f t="shared" si="8"/>
        <v>2875.7882336563453</v>
      </c>
      <c r="R30" s="19">
        <f t="shared" si="8"/>
        <v>6165.0457211204302</v>
      </c>
      <c r="S30" s="19">
        <f t="shared" si="8"/>
        <v>9456.438222018136</v>
      </c>
      <c r="T30" s="19">
        <f t="shared" si="8"/>
        <v>12749.948656241988</v>
      </c>
      <c r="U30" s="19">
        <f t="shared" si="8"/>
        <v>14404.926330325379</v>
      </c>
      <c r="V30" s="19">
        <f t="shared" si="8"/>
        <v>22623.423719682774</v>
      </c>
      <c r="W30" s="19">
        <f t="shared" si="8"/>
        <v>11159.690813258647</v>
      </c>
      <c r="X30" s="19">
        <f t="shared" si="8"/>
        <v>7891.2647634192545</v>
      </c>
      <c r="Y30" s="19">
        <f t="shared" si="8"/>
        <v>1339.2695486452303</v>
      </c>
      <c r="Z30" s="19">
        <f t="shared" si="8"/>
        <v>-5217.2078510772662</v>
      </c>
      <c r="AA30" s="19">
        <f t="shared" si="8"/>
        <v>-8926.324078268648</v>
      </c>
      <c r="AB30" s="19">
        <f t="shared" si="8"/>
        <v>-6019.9208456424985</v>
      </c>
      <c r="AC30" s="19">
        <f t="shared" si="8"/>
        <v>5598.2027077893072</v>
      </c>
      <c r="AD30" s="19">
        <f t="shared" si="8"/>
        <v>11415.789959460333</v>
      </c>
      <c r="AE30" s="19">
        <f t="shared" si="8"/>
        <v>17236.432106451306</v>
      </c>
      <c r="AF30" s="19">
        <f t="shared" si="8"/>
        <v>23060.104709599706</v>
      </c>
      <c r="AG30" s="19">
        <f t="shared" si="8"/>
        <v>25983.392275256236</v>
      </c>
      <c r="AH30" s="19">
        <f t="shared" si="8"/>
        <v>40521.656337054199</v>
      </c>
      <c r="AI30" s="19">
        <f t="shared" si="8"/>
        <v>20226.908269691099</v>
      </c>
      <c r="AJ30" s="19">
        <f t="shared" si="8"/>
        <v>14437.88986020023</v>
      </c>
      <c r="AK30" s="19">
        <f t="shared" si="8"/>
        <v>2838.8055046519585</v>
      </c>
      <c r="AL30" s="19">
        <f t="shared" si="8"/>
        <v>-8766.6773627185939</v>
      </c>
      <c r="AN30" s="19">
        <f>SUM(C30:N30)</f>
        <v>47603.101796519491</v>
      </c>
      <c r="AO30" s="19">
        <f>SUM(O30:Z30)</f>
        <v>74424.676737061585</v>
      </c>
      <c r="AP30" s="19">
        <f>SUM(AA30:AL30)</f>
        <v>137606.25944352461</v>
      </c>
    </row>
    <row r="31" spans="2:42" x14ac:dyDescent="0.25">
      <c r="B31" s="6" t="s">
        <v>260</v>
      </c>
      <c r="C31" s="29">
        <f t="shared" ref="C31:AL31" si="9">IF(C10=0,0,C30/C10)</f>
        <v>0</v>
      </c>
      <c r="D31" s="29">
        <f t="shared" si="9"/>
        <v>0</v>
      </c>
      <c r="E31" s="29">
        <f t="shared" si="9"/>
        <v>0</v>
      </c>
      <c r="F31" s="29">
        <f t="shared" si="9"/>
        <v>0.1672282962204843</v>
      </c>
      <c r="G31" s="29">
        <f t="shared" si="9"/>
        <v>0.20461999959607238</v>
      </c>
      <c r="H31" s="29">
        <f t="shared" si="9"/>
        <v>0.23134019878119266</v>
      </c>
      <c r="I31" s="29">
        <f t="shared" si="9"/>
        <v>0.2421395346150475</v>
      </c>
      <c r="J31" s="29">
        <f t="shared" si="9"/>
        <v>0.27931263939517109</v>
      </c>
      <c r="K31" s="29">
        <f t="shared" si="9"/>
        <v>0.21998506806336937</v>
      </c>
      <c r="L31" s="29">
        <f t="shared" si="9"/>
        <v>0.18938886232777286</v>
      </c>
      <c r="M31" s="29">
        <f t="shared" si="9"/>
        <v>7.5684228563890538E-2</v>
      </c>
      <c r="N31" s="29">
        <f t="shared" si="9"/>
        <v>-0.33629467789526191</v>
      </c>
      <c r="O31" s="29">
        <f t="shared" si="9"/>
        <v>-0.50319293497619755</v>
      </c>
      <c r="P31" s="29">
        <f t="shared" si="9"/>
        <v>-0.2619170906236159</v>
      </c>
      <c r="Q31" s="29">
        <f t="shared" si="9"/>
        <v>0.10255322168629198</v>
      </c>
      <c r="R31" s="29">
        <f t="shared" si="9"/>
        <v>0.17600810539491621</v>
      </c>
      <c r="S31" s="29">
        <f t="shared" si="9"/>
        <v>0.22507104552303911</v>
      </c>
      <c r="T31" s="29">
        <f t="shared" si="9"/>
        <v>0.26016713766393162</v>
      </c>
      <c r="U31" s="29">
        <f t="shared" si="9"/>
        <v>0.27430334754185687</v>
      </c>
      <c r="V31" s="29">
        <f t="shared" si="9"/>
        <v>0.32332755953299641</v>
      </c>
      <c r="W31" s="29">
        <f t="shared" si="9"/>
        <v>0.24476058453473845</v>
      </c>
      <c r="X31" s="29">
        <f t="shared" si="9"/>
        <v>0.2042259822149754</v>
      </c>
      <c r="Y31" s="29">
        <f t="shared" si="9"/>
        <v>5.4202440899513531E-2</v>
      </c>
      <c r="Z31" s="29">
        <f t="shared" si="9"/>
        <v>-0.48438250651340731</v>
      </c>
      <c r="AA31" s="29">
        <f t="shared" si="9"/>
        <v>-0.53292465881235862</v>
      </c>
      <c r="AB31" s="29">
        <f t="shared" si="9"/>
        <v>-0.27076542379311996</v>
      </c>
      <c r="AC31" s="29">
        <f t="shared" si="9"/>
        <v>0.12678505554652275</v>
      </c>
      <c r="AD31" s="29">
        <f t="shared" si="9"/>
        <v>0.20707534409553985</v>
      </c>
      <c r="AE31" s="29">
        <f t="shared" si="9"/>
        <v>0.26073618234715679</v>
      </c>
      <c r="AF31" s="29">
        <f t="shared" si="9"/>
        <v>0.29913469511886459</v>
      </c>
      <c r="AG31" s="29">
        <f t="shared" si="9"/>
        <v>0.31457830910866197</v>
      </c>
      <c r="AH31" s="29">
        <f t="shared" si="9"/>
        <v>0.36830117407646557</v>
      </c>
      <c r="AI31" s="29">
        <f t="shared" si="9"/>
        <v>0.28204976487221478</v>
      </c>
      <c r="AJ31" s="29">
        <f t="shared" si="9"/>
        <v>0.23753381608327048</v>
      </c>
      <c r="AK31" s="29">
        <f t="shared" si="9"/>
        <v>7.2998725331908598E-2</v>
      </c>
      <c r="AL31" s="29">
        <f t="shared" si="9"/>
        <v>-0.51614350277809018</v>
      </c>
      <c r="AN31" s="28">
        <f>IF(AN10=0,0,AN30/AN10)</f>
        <v>0.16808592996453148</v>
      </c>
      <c r="AO31" s="28">
        <f>IF(AO10=0,0,AO30/AO10)</f>
        <v>0.17678945041011795</v>
      </c>
      <c r="AP31" s="28">
        <f>IF(AP10=0,0,AP30/AP10)</f>
        <v>0.207722274606707</v>
      </c>
    </row>
    <row r="32" spans="2:42" x14ac:dyDescent="0.25">
      <c r="B32" s="9" t="s">
        <v>261</v>
      </c>
      <c r="C32" s="25">
        <f>IF(Обеми!C4&lt;=12,Допускания!$C$91/Допускания!$C$92/12,IF(Обеми!C4&lt;=24,(Допускания!$C$91+Допускания!$D$91)/Допускания!$C$92/12,(Допускания!$C$91+Допускания!$D$91+Допускания!$E$91)/Допускания!$C$92/12))</f>
        <v>95</v>
      </c>
      <c r="D32" s="25">
        <f>IF(Обеми!D4&lt;=12,Допускания!$C$91/Допускания!$C$92/12,IF(Обеми!D4&lt;=24,(Допускания!$C$91+Допускания!$D$91)/Допускания!$C$92/12,(Допускания!$C$91+Допускания!$D$91+Допускания!$E$91)/Допускания!$C$92/12))</f>
        <v>95</v>
      </c>
      <c r="E32" s="25">
        <f>IF(Обеми!E4&lt;=12,Допускания!$C$91/Допускания!$C$92/12,IF(Обеми!E4&lt;=24,(Допускания!$C$91+Допускания!$D$91)/Допускания!$C$92/12,(Допускания!$C$91+Допускания!$D$91+Допускания!$E$91)/Допускания!$C$92/12))</f>
        <v>95</v>
      </c>
      <c r="F32" s="25">
        <f>IF(Обеми!F4&lt;=12,Допускания!$C$91/Допускания!$C$92/12,IF(Обеми!F4&lt;=24,(Допускания!$C$91+Допускания!$D$91)/Допускания!$C$92/12,(Допускания!$C$91+Допускания!$D$91+Допускания!$E$91)/Допускания!$C$92/12))</f>
        <v>95</v>
      </c>
      <c r="G32" s="25">
        <f>IF(Обеми!G4&lt;=12,Допускания!$C$91/Допускания!$C$92/12,IF(Обеми!G4&lt;=24,(Допускания!$C$91+Допускания!$D$91)/Допускания!$C$92/12,(Допускания!$C$91+Допускания!$D$91+Допускания!$E$91)/Допускания!$C$92/12))</f>
        <v>95</v>
      </c>
      <c r="H32" s="25">
        <f>IF(Обеми!H4&lt;=12,Допускания!$C$91/Допускания!$C$92/12,IF(Обеми!H4&lt;=24,(Допускания!$C$91+Допускания!$D$91)/Допускания!$C$92/12,(Допускания!$C$91+Допускания!$D$91+Допускания!$E$91)/Допускания!$C$92/12))</f>
        <v>95</v>
      </c>
      <c r="I32" s="25">
        <f>IF(Обеми!I4&lt;=12,Допускания!$C$91/Допускания!$C$92/12,IF(Обеми!I4&lt;=24,(Допускания!$C$91+Допускания!$D$91)/Допускания!$C$92/12,(Допускания!$C$91+Допускания!$D$91+Допускания!$E$91)/Допускания!$C$92/12))</f>
        <v>95</v>
      </c>
      <c r="J32" s="25">
        <f>IF(Обеми!J4&lt;=12,Допускания!$C$91/Допускания!$C$92/12,IF(Обеми!J4&lt;=24,(Допускания!$C$91+Допускания!$D$91)/Допускания!$C$92/12,(Допускания!$C$91+Допускания!$D$91+Допускания!$E$91)/Допускания!$C$92/12))</f>
        <v>95</v>
      </c>
      <c r="K32" s="25">
        <f>IF(Обеми!K4&lt;=12,Допускания!$C$91/Допускания!$C$92/12,IF(Обеми!K4&lt;=24,(Допускания!$C$91+Допускания!$D$91)/Допускания!$C$92/12,(Допускания!$C$91+Допускания!$D$91+Допускания!$E$91)/Допускания!$C$92/12))</f>
        <v>95</v>
      </c>
      <c r="L32" s="25">
        <f>IF(Обеми!L4&lt;=12,Допускания!$C$91/Допускания!$C$92/12,IF(Обеми!L4&lt;=24,(Допускания!$C$91+Допускания!$D$91)/Допускания!$C$92/12,(Допускания!$C$91+Допускания!$D$91+Допускания!$E$91)/Допускания!$C$92/12))</f>
        <v>95</v>
      </c>
      <c r="M32" s="25">
        <f>IF(Обеми!M4&lt;=12,Допускания!$C$91/Допускания!$C$92/12,IF(Обеми!M4&lt;=24,(Допускания!$C$91+Допускания!$D$91)/Допускания!$C$92/12,(Допускания!$C$91+Допускания!$D$91+Допускания!$E$91)/Допускания!$C$92/12))</f>
        <v>95</v>
      </c>
      <c r="N32" s="25">
        <f>IF(Обеми!N4&lt;=12,Допускания!$C$91/Допускания!$C$92/12,IF(Обеми!N4&lt;=24,(Допускания!$C$91+Допускания!$D$91)/Допускания!$C$92/12,(Допускания!$C$91+Допускания!$D$91+Допускания!$E$91)/Допускания!$C$92/12))</f>
        <v>95</v>
      </c>
      <c r="O32" s="25">
        <f>IF(Обеми!O4&lt;=12,Допускания!$C$91/Допускания!$C$92/12,IF(Обеми!O4&lt;=24,(Допускания!$C$91+Допускания!$D$91)/Допускания!$C$92/12,(Допускания!$C$91+Допускания!$D$91+Допускания!$E$91)/Допускания!$C$92/12))</f>
        <v>180</v>
      </c>
      <c r="P32" s="25">
        <f>IF(Обеми!P4&lt;=12,Допускания!$C$91/Допускания!$C$92/12,IF(Обеми!P4&lt;=24,(Допускания!$C$91+Допускания!$D$91)/Допускания!$C$92/12,(Допускания!$C$91+Допускания!$D$91+Допускания!$E$91)/Допускания!$C$92/12))</f>
        <v>180</v>
      </c>
      <c r="Q32" s="25">
        <f>IF(Обеми!Q4&lt;=12,Допускания!$C$91/Допускания!$C$92/12,IF(Обеми!Q4&lt;=24,(Допускания!$C$91+Допускания!$D$91)/Допускания!$C$92/12,(Допускания!$C$91+Допускания!$D$91+Допускания!$E$91)/Допускания!$C$92/12))</f>
        <v>180</v>
      </c>
      <c r="R32" s="25">
        <f>IF(Обеми!R4&lt;=12,Допускания!$C$91/Допускания!$C$92/12,IF(Обеми!R4&lt;=24,(Допускания!$C$91+Допускания!$D$91)/Допускания!$C$92/12,(Допускания!$C$91+Допускания!$D$91+Допускания!$E$91)/Допускания!$C$92/12))</f>
        <v>180</v>
      </c>
      <c r="S32" s="25">
        <f>IF(Обеми!S4&lt;=12,Допускания!$C$91/Допускания!$C$92/12,IF(Обеми!S4&lt;=24,(Допускания!$C$91+Допускания!$D$91)/Допускания!$C$92/12,(Допускания!$C$91+Допускания!$D$91+Допускания!$E$91)/Допускания!$C$92/12))</f>
        <v>180</v>
      </c>
      <c r="T32" s="25">
        <f>IF(Обеми!T4&lt;=12,Допускания!$C$91/Допускания!$C$92/12,IF(Обеми!T4&lt;=24,(Допускания!$C$91+Допускания!$D$91)/Допускания!$C$92/12,(Допускания!$C$91+Допускания!$D$91+Допускания!$E$91)/Допускания!$C$92/12))</f>
        <v>180</v>
      </c>
      <c r="U32" s="25">
        <f>IF(Обеми!U4&lt;=12,Допускания!$C$91/Допускания!$C$92/12,IF(Обеми!U4&lt;=24,(Допускания!$C$91+Допускания!$D$91)/Допускания!$C$92/12,(Допускания!$C$91+Допускания!$D$91+Допускания!$E$91)/Допускания!$C$92/12))</f>
        <v>180</v>
      </c>
      <c r="V32" s="25">
        <f>IF(Обеми!V4&lt;=12,Допускания!$C$91/Допускания!$C$92/12,IF(Обеми!V4&lt;=24,(Допускания!$C$91+Допускания!$D$91)/Допускания!$C$92/12,(Допускания!$C$91+Допускания!$D$91+Допускания!$E$91)/Допускания!$C$92/12))</f>
        <v>180</v>
      </c>
      <c r="W32" s="25">
        <f>IF(Обеми!W4&lt;=12,Допускания!$C$91/Допускания!$C$92/12,IF(Обеми!W4&lt;=24,(Допускания!$C$91+Допускания!$D$91)/Допускания!$C$92/12,(Допускания!$C$91+Допускания!$D$91+Допускания!$E$91)/Допускания!$C$92/12))</f>
        <v>180</v>
      </c>
      <c r="X32" s="25">
        <f>IF(Обеми!X4&lt;=12,Допускания!$C$91/Допускания!$C$92/12,IF(Обеми!X4&lt;=24,(Допускания!$C$91+Допускания!$D$91)/Допускания!$C$92/12,(Допускания!$C$91+Допускания!$D$91+Допускания!$E$91)/Допускания!$C$92/12))</f>
        <v>180</v>
      </c>
      <c r="Y32" s="25">
        <f>IF(Обеми!Y4&lt;=12,Допускания!$C$91/Допускания!$C$92/12,IF(Обеми!Y4&lt;=24,(Допускания!$C$91+Допускания!$D$91)/Допускания!$C$92/12,(Допускания!$C$91+Допускания!$D$91+Допускания!$E$91)/Допускания!$C$92/12))</f>
        <v>180</v>
      </c>
      <c r="Z32" s="25">
        <f>IF(Обеми!Z4&lt;=12,Допускания!$C$91/Допускания!$C$92/12,IF(Обеми!Z4&lt;=24,(Допускания!$C$91+Допускания!$D$91)/Допускания!$C$92/12,(Допускания!$C$91+Допускания!$D$91+Допускания!$E$91)/Допускания!$C$92/12))</f>
        <v>180</v>
      </c>
      <c r="AA32" s="25">
        <f>IF(Обеми!AA4&lt;=12,Допускания!$C$91/Допускания!$C$92/12,IF(Обеми!AA4&lt;=24,(Допускания!$C$91+Допускания!$D$91)/Допускания!$C$92/12,(Допускания!$C$91+Допускания!$D$91+Допускания!$E$91)/Допускания!$C$92/12))</f>
        <v>273.33333333333331</v>
      </c>
      <c r="AB32" s="25">
        <f>IF(Обеми!AB4&lt;=12,Допускания!$C$91/Допускания!$C$92/12,IF(Обеми!AB4&lt;=24,(Допускания!$C$91+Допускания!$D$91)/Допускания!$C$92/12,(Допускания!$C$91+Допускания!$D$91+Допускания!$E$91)/Допускания!$C$92/12))</f>
        <v>273.33333333333331</v>
      </c>
      <c r="AC32" s="25">
        <f>IF(Обеми!AC4&lt;=12,Допускания!$C$91/Допускания!$C$92/12,IF(Обеми!AC4&lt;=24,(Допускания!$C$91+Допускания!$D$91)/Допускания!$C$92/12,(Допускания!$C$91+Допускания!$D$91+Допускания!$E$91)/Допускания!$C$92/12))</f>
        <v>273.33333333333331</v>
      </c>
      <c r="AD32" s="25">
        <f>IF(Обеми!AD4&lt;=12,Допускания!$C$91/Допускания!$C$92/12,IF(Обеми!AD4&lt;=24,(Допускания!$C$91+Допускания!$D$91)/Допускания!$C$92/12,(Допускания!$C$91+Допускания!$D$91+Допускания!$E$91)/Допускания!$C$92/12))</f>
        <v>273.33333333333331</v>
      </c>
      <c r="AE32" s="25">
        <f>IF(Обеми!AE4&lt;=12,Допускания!$C$91/Допускания!$C$92/12,IF(Обеми!AE4&lt;=24,(Допускания!$C$91+Допускания!$D$91)/Допускания!$C$92/12,(Допускания!$C$91+Допускания!$D$91+Допускания!$E$91)/Допускания!$C$92/12))</f>
        <v>273.33333333333331</v>
      </c>
      <c r="AF32" s="25">
        <f>IF(Обеми!AF4&lt;=12,Допускания!$C$91/Допускания!$C$92/12,IF(Обеми!AF4&lt;=24,(Допускания!$C$91+Допускания!$D$91)/Допускания!$C$92/12,(Допускания!$C$91+Допускания!$D$91+Допускания!$E$91)/Допускания!$C$92/12))</f>
        <v>273.33333333333331</v>
      </c>
      <c r="AG32" s="25">
        <f>IF(Обеми!AG4&lt;=12,Допускания!$C$91/Допускания!$C$92/12,IF(Обеми!AG4&lt;=24,(Допускания!$C$91+Допускания!$D$91)/Допускания!$C$92/12,(Допускания!$C$91+Допускания!$D$91+Допускания!$E$91)/Допускания!$C$92/12))</f>
        <v>273.33333333333331</v>
      </c>
      <c r="AH32" s="25">
        <f>IF(Обеми!AH4&lt;=12,Допускания!$C$91/Допускания!$C$92/12,IF(Обеми!AH4&lt;=24,(Допускания!$C$91+Допускания!$D$91)/Допускания!$C$92/12,(Допускания!$C$91+Допускания!$D$91+Допускания!$E$91)/Допускания!$C$92/12))</f>
        <v>273.33333333333331</v>
      </c>
      <c r="AI32" s="25">
        <f>IF(Обеми!AI4&lt;=12,Допускания!$C$91/Допускания!$C$92/12,IF(Обеми!AI4&lt;=24,(Допускания!$C$91+Допускания!$D$91)/Допускания!$C$92/12,(Допускания!$C$91+Допускания!$D$91+Допускания!$E$91)/Допускания!$C$92/12))</f>
        <v>273.33333333333331</v>
      </c>
      <c r="AJ32" s="25">
        <f>IF(Обеми!AJ4&lt;=12,Допускания!$C$91/Допускания!$C$92/12,IF(Обеми!AJ4&lt;=24,(Допускания!$C$91+Допускания!$D$91)/Допускания!$C$92/12,(Допускания!$C$91+Допускания!$D$91+Допускания!$E$91)/Допускания!$C$92/12))</f>
        <v>273.33333333333331</v>
      </c>
      <c r="AK32" s="25">
        <f>IF(Обеми!AK4&lt;=12,Допускания!$C$91/Допускания!$C$92/12,IF(Обеми!AK4&lt;=24,(Допускания!$C$91+Допускания!$D$91)/Допускания!$C$92/12,(Допускания!$C$91+Допускания!$D$91+Допускания!$E$91)/Допускания!$C$92/12))</f>
        <v>273.33333333333331</v>
      </c>
      <c r="AL32" s="25">
        <f>IF(Обеми!AL4&lt;=12,Допускания!$C$91/Допускания!$C$92/12,IF(Обеми!AL4&lt;=24,(Допускания!$C$91+Допускания!$D$91)/Допускания!$C$92/12,(Допускания!$C$91+Допускания!$D$91+Допускания!$E$91)/Допускания!$C$92/12))</f>
        <v>273.33333333333331</v>
      </c>
      <c r="AN32" s="19">
        <f>SUM(C32:N32)</f>
        <v>1140</v>
      </c>
      <c r="AO32" s="19">
        <f>SUM(O32:Z32)</f>
        <v>2160</v>
      </c>
      <c r="AP32" s="19">
        <f>SUM(AA32:AL32)</f>
        <v>3280.0000000000005</v>
      </c>
    </row>
    <row r="33" spans="2:42" x14ac:dyDescent="0.25">
      <c r="B33" s="18" t="s">
        <v>262</v>
      </c>
      <c r="C33" s="19">
        <f t="shared" ref="C33:AL33" si="10">C30-C32</f>
        <v>-3125</v>
      </c>
      <c r="D33" s="19">
        <f t="shared" si="10"/>
        <v>-3125</v>
      </c>
      <c r="E33" s="19">
        <f t="shared" si="10"/>
        <v>-3125</v>
      </c>
      <c r="F33" s="19">
        <f t="shared" si="10"/>
        <v>4405.3619047619031</v>
      </c>
      <c r="G33" s="19">
        <f t="shared" si="10"/>
        <v>6515.768533333332</v>
      </c>
      <c r="H33" s="19">
        <f t="shared" si="10"/>
        <v>8627.9673374476188</v>
      </c>
      <c r="I33" s="19">
        <f t="shared" si="10"/>
        <v>9691.4077892242312</v>
      </c>
      <c r="J33" s="19">
        <f t="shared" si="10"/>
        <v>14957.823193577104</v>
      </c>
      <c r="K33" s="19">
        <f t="shared" si="10"/>
        <v>7622.3615604094448</v>
      </c>
      <c r="L33" s="19">
        <f t="shared" si="10"/>
        <v>5532.9005726880641</v>
      </c>
      <c r="M33" s="19">
        <f t="shared" si="10"/>
        <v>1340.4074633446544</v>
      </c>
      <c r="N33" s="19">
        <f t="shared" si="10"/>
        <v>-2855.8965582668634</v>
      </c>
      <c r="O33" s="19">
        <f t="shared" si="10"/>
        <v>-5513.5435643721567</v>
      </c>
      <c r="P33" s="19">
        <f t="shared" si="10"/>
        <v>-3870.3678558571773</v>
      </c>
      <c r="Q33" s="19">
        <f t="shared" si="10"/>
        <v>2695.7882336563453</v>
      </c>
      <c r="R33" s="19">
        <f t="shared" si="10"/>
        <v>5985.0457211204302</v>
      </c>
      <c r="S33" s="19">
        <f t="shared" si="10"/>
        <v>9276.438222018136</v>
      </c>
      <c r="T33" s="19">
        <f t="shared" si="10"/>
        <v>12569.948656241988</v>
      </c>
      <c r="U33" s="19">
        <f t="shared" si="10"/>
        <v>14224.926330325379</v>
      </c>
      <c r="V33" s="19">
        <f t="shared" si="10"/>
        <v>22443.423719682774</v>
      </c>
      <c r="W33" s="19">
        <f t="shared" si="10"/>
        <v>10979.690813258647</v>
      </c>
      <c r="X33" s="19">
        <f t="shared" si="10"/>
        <v>7711.2647634192545</v>
      </c>
      <c r="Y33" s="19">
        <f t="shared" si="10"/>
        <v>1159.2695486452303</v>
      </c>
      <c r="Z33" s="19">
        <f t="shared" si="10"/>
        <v>-5397.2078510772662</v>
      </c>
      <c r="AA33" s="19">
        <f t="shared" si="10"/>
        <v>-9199.6574116019819</v>
      </c>
      <c r="AB33" s="19">
        <f t="shared" si="10"/>
        <v>-6293.2541789758316</v>
      </c>
      <c r="AC33" s="19">
        <f t="shared" si="10"/>
        <v>5324.8693744559741</v>
      </c>
      <c r="AD33" s="19">
        <f t="shared" si="10"/>
        <v>11142.456626126999</v>
      </c>
      <c r="AE33" s="19">
        <f t="shared" si="10"/>
        <v>16963.098773117974</v>
      </c>
      <c r="AF33" s="19">
        <f t="shared" si="10"/>
        <v>22786.771376266373</v>
      </c>
      <c r="AG33" s="19">
        <f t="shared" si="10"/>
        <v>25710.058941922904</v>
      </c>
      <c r="AH33" s="19">
        <f t="shared" si="10"/>
        <v>40248.323003720863</v>
      </c>
      <c r="AI33" s="19">
        <f t="shared" si="10"/>
        <v>19953.574936357767</v>
      </c>
      <c r="AJ33" s="19">
        <f t="shared" si="10"/>
        <v>14164.556526866896</v>
      </c>
      <c r="AK33" s="19">
        <f t="shared" si="10"/>
        <v>2565.472171318625</v>
      </c>
      <c r="AL33" s="19">
        <f t="shared" si="10"/>
        <v>-9040.0106960519279</v>
      </c>
      <c r="AN33" s="19">
        <f>SUM(C33:N33)</f>
        <v>46463.101796519491</v>
      </c>
      <c r="AO33" s="19">
        <f>SUM(O33:Z33)</f>
        <v>72264.676737061585</v>
      </c>
      <c r="AP33" s="19">
        <f>SUM(AA33:AL33)</f>
        <v>134326.25944352461</v>
      </c>
    </row>
    <row r="34" spans="2:42" x14ac:dyDescent="0.25">
      <c r="B34" s="9" t="s">
        <v>263</v>
      </c>
      <c r="C34" s="25">
        <f>IF(C33&gt;0,C33*Допускания!$C$95,0)</f>
        <v>0</v>
      </c>
      <c r="D34" s="25">
        <f>IF(D33&gt;0,D33*Допускания!$C$95,0)</f>
        <v>0</v>
      </c>
      <c r="E34" s="25">
        <f>IF(E33&gt;0,E33*Допускания!$C$95,0)</f>
        <v>0</v>
      </c>
      <c r="F34" s="25">
        <f>IF(F33&gt;0,F33*Допускания!$C$95,0)</f>
        <v>440.53619047619031</v>
      </c>
      <c r="G34" s="25">
        <f>IF(G33&gt;0,G33*Допускания!$C$95,0)</f>
        <v>651.57685333333325</v>
      </c>
      <c r="H34" s="25">
        <f>IF(H33&gt;0,H33*Допускания!$C$95,0)</f>
        <v>862.79673374476192</v>
      </c>
      <c r="I34" s="25">
        <f>IF(I33&gt;0,I33*Допускания!$C$95,0)</f>
        <v>969.14077892242312</v>
      </c>
      <c r="J34" s="25">
        <f>IF(J33&gt;0,J33*Допускания!$C$95,0)</f>
        <v>1495.7823193577105</v>
      </c>
      <c r="K34" s="25">
        <f>IF(K33&gt;0,K33*Допускания!$C$95,0)</f>
        <v>762.23615604094448</v>
      </c>
      <c r="L34" s="25">
        <f>IF(L33&gt;0,L33*Допускания!$C$95,0)</f>
        <v>553.29005726880644</v>
      </c>
      <c r="M34" s="25">
        <f>IF(M33&gt;0,M33*Допускания!$C$95,0)</f>
        <v>134.04074633446544</v>
      </c>
      <c r="N34" s="25">
        <f>IF(N33&gt;0,N33*Допускания!$C$95,0)</f>
        <v>0</v>
      </c>
      <c r="O34" s="25">
        <f>IF(O33&gt;0,O33*Допускания!$C$95,0)</f>
        <v>0</v>
      </c>
      <c r="P34" s="25">
        <f>IF(P33&gt;0,P33*Допускания!$C$95,0)</f>
        <v>0</v>
      </c>
      <c r="Q34" s="25">
        <f>IF(Q33&gt;0,Q33*Допускания!$C$95,0)</f>
        <v>269.57882336563455</v>
      </c>
      <c r="R34" s="25">
        <f>IF(R33&gt;0,R33*Допускания!$C$95,0)</f>
        <v>598.50457211204309</v>
      </c>
      <c r="S34" s="25">
        <f>IF(S33&gt;0,S33*Допускания!$C$95,0)</f>
        <v>927.64382220181369</v>
      </c>
      <c r="T34" s="25">
        <f>IF(T33&gt;0,T33*Допускания!$C$95,0)</f>
        <v>1256.9948656241988</v>
      </c>
      <c r="U34" s="25">
        <f>IF(U33&gt;0,U33*Допускания!$C$95,0)</f>
        <v>1422.4926330325379</v>
      </c>
      <c r="V34" s="25">
        <f>IF(V33&gt;0,V33*Допускания!$C$95,0)</f>
        <v>2244.3423719682773</v>
      </c>
      <c r="W34" s="25">
        <f>IF(W33&gt;0,W33*Допускания!$C$95,0)</f>
        <v>1097.9690813258646</v>
      </c>
      <c r="X34" s="25">
        <f>IF(X33&gt;0,X33*Допускания!$C$95,0)</f>
        <v>771.12647634192547</v>
      </c>
      <c r="Y34" s="25">
        <f>IF(Y33&gt;0,Y33*Допускания!$C$95,0)</f>
        <v>115.92695486452304</v>
      </c>
      <c r="Z34" s="25">
        <f>IF(Z33&gt;0,Z33*Допускания!$C$95,0)</f>
        <v>0</v>
      </c>
      <c r="AA34" s="25">
        <f>IF(AA33&gt;0,AA33*Допускания!$C$95,0)</f>
        <v>0</v>
      </c>
      <c r="AB34" s="25">
        <f>IF(AB33&gt;0,AB33*Допускания!$C$95,0)</f>
        <v>0</v>
      </c>
      <c r="AC34" s="25">
        <f>IF(AC33&gt;0,AC33*Допускания!$C$95,0)</f>
        <v>532.48693744559739</v>
      </c>
      <c r="AD34" s="25">
        <f>IF(AD33&gt;0,AD33*Допускания!$C$95,0)</f>
        <v>1114.2456626127</v>
      </c>
      <c r="AE34" s="25">
        <f>IF(AE33&gt;0,AE33*Допускания!$C$95,0)</f>
        <v>1696.3098773117974</v>
      </c>
      <c r="AF34" s="25">
        <f>IF(AF33&gt;0,AF33*Допускания!$C$95,0)</f>
        <v>2278.6771376266374</v>
      </c>
      <c r="AG34" s="25">
        <f>IF(AG33&gt;0,AG33*Допускания!$C$95,0)</f>
        <v>2571.0058941922907</v>
      </c>
      <c r="AH34" s="25">
        <f>IF(AH33&gt;0,AH33*Допускания!$C$95,0)</f>
        <v>4024.8323003720866</v>
      </c>
      <c r="AI34" s="25">
        <f>IF(AI33&gt;0,AI33*Допускания!$C$95,0)</f>
        <v>1995.3574936357768</v>
      </c>
      <c r="AJ34" s="25">
        <f>IF(AJ33&gt;0,AJ33*Допускания!$C$95,0)</f>
        <v>1416.4556526866897</v>
      </c>
      <c r="AK34" s="25">
        <f>IF(AK33&gt;0,AK33*Допускания!$C$95,0)</f>
        <v>256.54721713186251</v>
      </c>
      <c r="AL34" s="25">
        <f>IF(AL33&gt;0,AL33*Допускания!$C$95,0)</f>
        <v>0</v>
      </c>
      <c r="AN34" s="19">
        <f>SUM(C34:N34)</f>
        <v>5869.3998354786363</v>
      </c>
      <c r="AO34" s="19">
        <f>SUM(O34:Z34)</f>
        <v>8704.5796008368179</v>
      </c>
      <c r="AP34" s="19">
        <f>SUM(AA34:AL34)</f>
        <v>15885.91817301544</v>
      </c>
    </row>
    <row r="35" spans="2:42" x14ac:dyDescent="0.25">
      <c r="B35" s="18" t="s">
        <v>264</v>
      </c>
      <c r="C35" s="19">
        <f t="shared" ref="C35:AL35" si="11">C33-C34</f>
        <v>-3125</v>
      </c>
      <c r="D35" s="19">
        <f t="shared" si="11"/>
        <v>-3125</v>
      </c>
      <c r="E35" s="19">
        <f t="shared" si="11"/>
        <v>-3125</v>
      </c>
      <c r="F35" s="19">
        <f t="shared" si="11"/>
        <v>3964.8257142857128</v>
      </c>
      <c r="G35" s="19">
        <f t="shared" si="11"/>
        <v>5864.191679999999</v>
      </c>
      <c r="H35" s="19">
        <f t="shared" si="11"/>
        <v>7765.1706037028571</v>
      </c>
      <c r="I35" s="19">
        <f t="shared" si="11"/>
        <v>8722.2670103018081</v>
      </c>
      <c r="J35" s="19">
        <f t="shared" si="11"/>
        <v>13462.040874219394</v>
      </c>
      <c r="K35" s="19">
        <f t="shared" si="11"/>
        <v>6860.1254043685003</v>
      </c>
      <c r="L35" s="19">
        <f t="shared" si="11"/>
        <v>4979.6105154192574</v>
      </c>
      <c r="M35" s="19">
        <f t="shared" si="11"/>
        <v>1206.3667170101889</v>
      </c>
      <c r="N35" s="19">
        <f t="shared" si="11"/>
        <v>-2855.8965582668634</v>
      </c>
      <c r="O35" s="19">
        <f t="shared" si="11"/>
        <v>-5513.5435643721567</v>
      </c>
      <c r="P35" s="19">
        <f t="shared" si="11"/>
        <v>-3870.3678558571773</v>
      </c>
      <c r="Q35" s="19">
        <f t="shared" si="11"/>
        <v>2426.2094102907108</v>
      </c>
      <c r="R35" s="19">
        <f t="shared" si="11"/>
        <v>5386.541149008387</v>
      </c>
      <c r="S35" s="19">
        <f t="shared" si="11"/>
        <v>8348.7943998163228</v>
      </c>
      <c r="T35" s="19">
        <f t="shared" si="11"/>
        <v>11312.953790617788</v>
      </c>
      <c r="U35" s="19">
        <f t="shared" si="11"/>
        <v>12802.433697292841</v>
      </c>
      <c r="V35" s="19">
        <f t="shared" si="11"/>
        <v>20199.081347714498</v>
      </c>
      <c r="W35" s="19">
        <f t="shared" si="11"/>
        <v>9881.7217319327829</v>
      </c>
      <c r="X35" s="19">
        <f t="shared" si="11"/>
        <v>6940.1382870773286</v>
      </c>
      <c r="Y35" s="19">
        <f t="shared" si="11"/>
        <v>1043.3425937807074</v>
      </c>
      <c r="Z35" s="19">
        <f t="shared" si="11"/>
        <v>-5397.2078510772662</v>
      </c>
      <c r="AA35" s="19">
        <f t="shared" si="11"/>
        <v>-9199.6574116019819</v>
      </c>
      <c r="AB35" s="19">
        <f t="shared" si="11"/>
        <v>-6293.2541789758316</v>
      </c>
      <c r="AC35" s="19">
        <f t="shared" si="11"/>
        <v>4792.3824370103766</v>
      </c>
      <c r="AD35" s="19">
        <f t="shared" si="11"/>
        <v>10028.210963514299</v>
      </c>
      <c r="AE35" s="19">
        <f t="shared" si="11"/>
        <v>15266.788895806176</v>
      </c>
      <c r="AF35" s="19">
        <f t="shared" si="11"/>
        <v>20508.094238639736</v>
      </c>
      <c r="AG35" s="19">
        <f t="shared" si="11"/>
        <v>23139.053047730613</v>
      </c>
      <c r="AH35" s="19">
        <f t="shared" si="11"/>
        <v>36223.490703348776</v>
      </c>
      <c r="AI35" s="19">
        <f t="shared" si="11"/>
        <v>17958.217442721991</v>
      </c>
      <c r="AJ35" s="19">
        <f t="shared" si="11"/>
        <v>12748.100874180207</v>
      </c>
      <c r="AK35" s="19">
        <f t="shared" si="11"/>
        <v>2308.9249541867625</v>
      </c>
      <c r="AL35" s="19">
        <f t="shared" si="11"/>
        <v>-9040.0106960519279</v>
      </c>
      <c r="AN35" s="19">
        <f>SUM(C35:N35)</f>
        <v>40593.701961040861</v>
      </c>
      <c r="AO35" s="19">
        <f>SUM(O35:Z35)</f>
        <v>63560.097136224751</v>
      </c>
      <c r="AP35" s="19">
        <f>SUM(AA35:AL35)</f>
        <v>118440.34127050918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P23"/>
  <sheetViews>
    <sheetView zoomScaleNormal="100" workbookViewId="0"/>
  </sheetViews>
  <sheetFormatPr defaultColWidth="8.7109375" defaultRowHeight="15" x14ac:dyDescent="0.25"/>
  <cols>
    <col min="1" max="1" width="2" customWidth="1"/>
    <col min="2" max="2" width="46" customWidth="1"/>
    <col min="3" max="42" width="10" customWidth="1"/>
  </cols>
  <sheetData>
    <row r="1" spans="2:42" ht="18" x14ac:dyDescent="0.25">
      <c r="B1" s="2" t="s">
        <v>265</v>
      </c>
    </row>
    <row r="2" spans="2:42" x14ac:dyDescent="0.25">
      <c r="B2" s="3" t="s">
        <v>266</v>
      </c>
    </row>
    <row r="4" spans="2:42" x14ac:dyDescent="0.25">
      <c r="B4" s="6" t="s">
        <v>228</v>
      </c>
      <c r="C4" s="31">
        <f>Обеми!C4</f>
        <v>1</v>
      </c>
      <c r="D4" s="31">
        <f>Обеми!D4</f>
        <v>2</v>
      </c>
      <c r="E4" s="31">
        <f>Обеми!E4</f>
        <v>3</v>
      </c>
      <c r="F4" s="31">
        <f>Обеми!F4</f>
        <v>4</v>
      </c>
      <c r="G4" s="31">
        <f>Обеми!G4</f>
        <v>5</v>
      </c>
      <c r="H4" s="31">
        <f>Обеми!H4</f>
        <v>6</v>
      </c>
      <c r="I4" s="31">
        <f>Обеми!I4</f>
        <v>7</v>
      </c>
      <c r="J4" s="31">
        <f>Обеми!J4</f>
        <v>8</v>
      </c>
      <c r="K4" s="31">
        <f>Обеми!K4</f>
        <v>9</v>
      </c>
      <c r="L4" s="31">
        <f>Обеми!L4</f>
        <v>10</v>
      </c>
      <c r="M4" s="31">
        <f>Обеми!M4</f>
        <v>11</v>
      </c>
      <c r="N4" s="31">
        <f>Обеми!N4</f>
        <v>12</v>
      </c>
      <c r="O4" s="31">
        <f>Обеми!O4</f>
        <v>13</v>
      </c>
      <c r="P4" s="31">
        <f>Обеми!P4</f>
        <v>14</v>
      </c>
      <c r="Q4" s="31">
        <f>Обеми!Q4</f>
        <v>15</v>
      </c>
      <c r="R4" s="31">
        <f>Обеми!R4</f>
        <v>16</v>
      </c>
      <c r="S4" s="31">
        <f>Обеми!S4</f>
        <v>17</v>
      </c>
      <c r="T4" s="31">
        <f>Обеми!T4</f>
        <v>18</v>
      </c>
      <c r="U4" s="31">
        <f>Обеми!U4</f>
        <v>19</v>
      </c>
      <c r="V4" s="31">
        <f>Обеми!V4</f>
        <v>20</v>
      </c>
      <c r="W4" s="31">
        <f>Обеми!W4</f>
        <v>21</v>
      </c>
      <c r="X4" s="31">
        <f>Обеми!X4</f>
        <v>22</v>
      </c>
      <c r="Y4" s="31">
        <f>Обеми!Y4</f>
        <v>23</v>
      </c>
      <c r="Z4" s="31">
        <f>Обеми!Z4</f>
        <v>24</v>
      </c>
      <c r="AA4" s="31">
        <f>Обеми!AA4</f>
        <v>25</v>
      </c>
      <c r="AB4" s="31">
        <f>Обеми!AB4</f>
        <v>26</v>
      </c>
      <c r="AC4" s="31">
        <f>Обеми!AC4</f>
        <v>27</v>
      </c>
      <c r="AD4" s="31">
        <f>Обеми!AD4</f>
        <v>28</v>
      </c>
      <c r="AE4" s="31">
        <f>Обеми!AE4</f>
        <v>29</v>
      </c>
      <c r="AF4" s="31">
        <f>Обеми!AF4</f>
        <v>30</v>
      </c>
      <c r="AG4" s="31">
        <f>Обеми!AG4</f>
        <v>31</v>
      </c>
      <c r="AH4" s="31">
        <f>Обеми!AH4</f>
        <v>32</v>
      </c>
      <c r="AI4" s="31">
        <f>Обеми!AI4</f>
        <v>33</v>
      </c>
      <c r="AJ4" s="31">
        <f>Обеми!AJ4</f>
        <v>34</v>
      </c>
      <c r="AK4" s="31">
        <f>Обеми!AK4</f>
        <v>35</v>
      </c>
      <c r="AL4" s="31">
        <f>Обеми!AL4</f>
        <v>36</v>
      </c>
      <c r="AN4" s="32" t="s">
        <v>67</v>
      </c>
      <c r="AO4" s="32" t="s">
        <v>68</v>
      </c>
      <c r="AP4" s="32" t="s">
        <v>69</v>
      </c>
    </row>
    <row r="5" spans="2:42" x14ac:dyDescent="0.25">
      <c r="B5" s="9" t="s">
        <v>267</v>
      </c>
      <c r="C5" s="22">
        <f>Обеми!C11</f>
        <v>0</v>
      </c>
      <c r="D5" s="22">
        <f>Обеми!D11</f>
        <v>0</v>
      </c>
      <c r="E5" s="22">
        <f>Обеми!E11</f>
        <v>0</v>
      </c>
      <c r="F5" s="22">
        <f>Обеми!F11</f>
        <v>2.4761904761904763</v>
      </c>
      <c r="G5" s="22">
        <f>Обеми!G11</f>
        <v>2.9714285714285715</v>
      </c>
      <c r="H5" s="22">
        <f>Обеми!H11</f>
        <v>3.4666666666666663</v>
      </c>
      <c r="I5" s="22">
        <f>Обеми!I11</f>
        <v>3.7142857142857144</v>
      </c>
      <c r="J5" s="22">
        <f>Обеми!J11</f>
        <v>4.9523809523809526</v>
      </c>
      <c r="K5" s="22">
        <f>Обеми!K11</f>
        <v>3.2190476190476196</v>
      </c>
      <c r="L5" s="22">
        <f>Обеми!L11</f>
        <v>2.7238095238095239</v>
      </c>
      <c r="M5" s="22">
        <f>Обеми!M11</f>
        <v>1.7333333333333332</v>
      </c>
      <c r="N5" s="22">
        <f>Обеми!N11</f>
        <v>0.74285714285714288</v>
      </c>
      <c r="O5" s="22">
        <f>Обеми!O11</f>
        <v>0.875</v>
      </c>
      <c r="P5" s="22">
        <f>Обеми!P11</f>
        <v>1.1666666666666667</v>
      </c>
      <c r="Q5" s="22">
        <f>Обеми!Q11</f>
        <v>2.3333333333333335</v>
      </c>
      <c r="R5" s="22">
        <f>Обеми!R11</f>
        <v>2.9166666666666665</v>
      </c>
      <c r="S5" s="22">
        <f>Обеми!S11</f>
        <v>3.5</v>
      </c>
      <c r="T5" s="22">
        <f>Обеми!T11</f>
        <v>4.083333333333333</v>
      </c>
      <c r="U5" s="22">
        <f>Обеми!U11</f>
        <v>4.375</v>
      </c>
      <c r="V5" s="22">
        <f>Обеми!V11</f>
        <v>5.833333333333333</v>
      </c>
      <c r="W5" s="22">
        <f>Обеми!W11</f>
        <v>3.7916666666666665</v>
      </c>
      <c r="X5" s="22">
        <f>Обеми!X11</f>
        <v>3.2083333333333335</v>
      </c>
      <c r="Y5" s="22">
        <f>Обеми!Y11</f>
        <v>2.0416666666666665</v>
      </c>
      <c r="Z5" s="22">
        <f>Обеми!Z11</f>
        <v>0.875</v>
      </c>
      <c r="AA5" s="22">
        <f>Обеми!AA11</f>
        <v>1.25</v>
      </c>
      <c r="AB5" s="22">
        <f>Обеми!AB11</f>
        <v>1.6666666666666667</v>
      </c>
      <c r="AC5" s="22">
        <f>Обеми!AC11</f>
        <v>3.3333333333333335</v>
      </c>
      <c r="AD5" s="22">
        <f>Обеми!AD11</f>
        <v>4.166666666666667</v>
      </c>
      <c r="AE5" s="22">
        <f>Обеми!AE11</f>
        <v>5</v>
      </c>
      <c r="AF5" s="22">
        <f>Обеми!AF11</f>
        <v>5.833333333333333</v>
      </c>
      <c r="AG5" s="22">
        <f>Обеми!AG11</f>
        <v>6.25</v>
      </c>
      <c r="AH5" s="22">
        <f>Обеми!AH11</f>
        <v>8.3333333333333339</v>
      </c>
      <c r="AI5" s="22">
        <f>Обеми!AI11</f>
        <v>5.416666666666667</v>
      </c>
      <c r="AJ5" s="22">
        <f>Обеми!AJ11</f>
        <v>4.5833333333333339</v>
      </c>
      <c r="AK5" s="22">
        <f>Обеми!AK11</f>
        <v>2.9166666666666665</v>
      </c>
      <c r="AL5" s="22">
        <f>Обеми!AL11</f>
        <v>1.25</v>
      </c>
      <c r="AN5" s="34">
        <f t="shared" ref="AN5:AN11" si="0">SUM(C5:N5)</f>
        <v>26.000000000000004</v>
      </c>
      <c r="AO5" s="34">
        <f t="shared" ref="AO5:AO11" si="1">SUM(O5:Z5)</f>
        <v>35</v>
      </c>
      <c r="AP5" s="34">
        <f t="shared" ref="AP5:AP11" si="2">SUM(AA5:AL5)</f>
        <v>50</v>
      </c>
    </row>
    <row r="6" spans="2:42" x14ac:dyDescent="0.25">
      <c r="B6" s="9" t="s">
        <v>268</v>
      </c>
      <c r="C6" s="22">
        <f>C5*Допускания!$C$51</f>
        <v>0</v>
      </c>
      <c r="D6" s="22">
        <f>D5*Допускания!$C$51</f>
        <v>0</v>
      </c>
      <c r="E6" s="22">
        <f>E5*Допускания!$C$51</f>
        <v>0</v>
      </c>
      <c r="F6" s="22">
        <f>F5*Допускания!$C$51</f>
        <v>0.24761904761904763</v>
      </c>
      <c r="G6" s="22">
        <f>G5*Допускания!$C$51</f>
        <v>0.29714285714285715</v>
      </c>
      <c r="H6" s="22">
        <f>H5*Допускания!$C$51</f>
        <v>0.34666666666666668</v>
      </c>
      <c r="I6" s="22">
        <f>I5*Допускания!$C$51</f>
        <v>0.37142857142857144</v>
      </c>
      <c r="J6" s="22">
        <f>J5*Допускания!$C$51</f>
        <v>0.49523809523809526</v>
      </c>
      <c r="K6" s="22">
        <f>K5*Допускания!$C$51</f>
        <v>0.32190476190476197</v>
      </c>
      <c r="L6" s="22">
        <f>L5*Допускания!$C$51</f>
        <v>0.27238095238095239</v>
      </c>
      <c r="M6" s="22">
        <f>M5*Допускания!$C$51</f>
        <v>0.17333333333333334</v>
      </c>
      <c r="N6" s="22">
        <f>N5*Допускания!$C$51</f>
        <v>7.4285714285714288E-2</v>
      </c>
      <c r="O6" s="22">
        <f>O5*Допускания!$C$51</f>
        <v>8.7500000000000008E-2</v>
      </c>
      <c r="P6" s="22">
        <f>P5*Допускания!$C$51</f>
        <v>0.11666666666666668</v>
      </c>
      <c r="Q6" s="22">
        <f>Q5*Допускания!$C$51</f>
        <v>0.23333333333333336</v>
      </c>
      <c r="R6" s="22">
        <f>R5*Допускания!$C$51</f>
        <v>0.29166666666666669</v>
      </c>
      <c r="S6" s="22">
        <f>S5*Допускания!$C$51</f>
        <v>0.35000000000000003</v>
      </c>
      <c r="T6" s="22">
        <f>T5*Допускания!$C$51</f>
        <v>0.40833333333333333</v>
      </c>
      <c r="U6" s="22">
        <f>U5*Допускания!$C$51</f>
        <v>0.4375</v>
      </c>
      <c r="V6" s="22">
        <f>V5*Допускания!$C$51</f>
        <v>0.58333333333333337</v>
      </c>
      <c r="W6" s="22">
        <f>W5*Допускания!$C$51</f>
        <v>0.37916666666666665</v>
      </c>
      <c r="X6" s="22">
        <f>X5*Допускания!$C$51</f>
        <v>0.32083333333333336</v>
      </c>
      <c r="Y6" s="22">
        <f>Y5*Допускания!$C$51</f>
        <v>0.20416666666666666</v>
      </c>
      <c r="Z6" s="22">
        <f>Z5*Допускания!$C$51</f>
        <v>8.7500000000000008E-2</v>
      </c>
      <c r="AA6" s="22">
        <f>AA5*Допускания!$C$51</f>
        <v>0.125</v>
      </c>
      <c r="AB6" s="22">
        <f>AB5*Допускания!$C$51</f>
        <v>0.16666666666666669</v>
      </c>
      <c r="AC6" s="22">
        <f>AC5*Допускания!$C$51</f>
        <v>0.33333333333333337</v>
      </c>
      <c r="AD6" s="22">
        <f>AD5*Допускания!$C$51</f>
        <v>0.41666666666666674</v>
      </c>
      <c r="AE6" s="22">
        <f>AE5*Допускания!$C$51</f>
        <v>0.5</v>
      </c>
      <c r="AF6" s="22">
        <f>AF5*Допускания!$C$51</f>
        <v>0.58333333333333337</v>
      </c>
      <c r="AG6" s="22">
        <f>AG5*Допускания!$C$51</f>
        <v>0.625</v>
      </c>
      <c r="AH6" s="22">
        <f>AH5*Допускания!$C$51</f>
        <v>0.83333333333333348</v>
      </c>
      <c r="AI6" s="22">
        <f>AI5*Допускания!$C$51</f>
        <v>0.54166666666666674</v>
      </c>
      <c r="AJ6" s="22">
        <f>AJ5*Допускания!$C$51</f>
        <v>0.45833333333333343</v>
      </c>
      <c r="AK6" s="22">
        <f>AK5*Допускания!$C$51</f>
        <v>0.29166666666666669</v>
      </c>
      <c r="AL6" s="22">
        <f>AL5*Допускания!$C$51</f>
        <v>0.125</v>
      </c>
      <c r="AN6" s="34">
        <f t="shared" si="0"/>
        <v>2.6</v>
      </c>
      <c r="AO6" s="34">
        <f t="shared" si="1"/>
        <v>3.5</v>
      </c>
      <c r="AP6" s="34">
        <f t="shared" si="2"/>
        <v>5</v>
      </c>
    </row>
    <row r="7" spans="2:42" x14ac:dyDescent="0.25">
      <c r="B7" s="9" t="s">
        <v>269</v>
      </c>
      <c r="C7" s="22">
        <f>C6*Допускания!$C$52</f>
        <v>0</v>
      </c>
      <c r="D7" s="22">
        <f>D6*Допускания!$C$52</f>
        <v>0</v>
      </c>
      <c r="E7" s="22">
        <f>E6*Допускания!$C$52</f>
        <v>0</v>
      </c>
      <c r="F7" s="22">
        <f>F6*Допускания!$C$52</f>
        <v>8.666666666666667E-2</v>
      </c>
      <c r="G7" s="22">
        <f>G6*Допускания!$C$52</f>
        <v>0.104</v>
      </c>
      <c r="H7" s="22">
        <f>H6*Допускания!$C$52</f>
        <v>0.12133333333333333</v>
      </c>
      <c r="I7" s="22">
        <f>I6*Допускания!$C$52</f>
        <v>0.13</v>
      </c>
      <c r="J7" s="22">
        <f>J6*Допускания!$C$52</f>
        <v>0.17333333333333334</v>
      </c>
      <c r="K7" s="22">
        <f>K6*Допускания!$C$52</f>
        <v>0.11266666666666668</v>
      </c>
      <c r="L7" s="22">
        <f>L6*Допускания!$C$52</f>
        <v>9.5333333333333325E-2</v>
      </c>
      <c r="M7" s="22">
        <f>M6*Допускания!$C$52</f>
        <v>6.0666666666666667E-2</v>
      </c>
      <c r="N7" s="22">
        <f>N6*Допускания!$C$52</f>
        <v>2.5999999999999999E-2</v>
      </c>
      <c r="O7" s="22">
        <f>O6*Допускания!$C$52</f>
        <v>3.0624999999999999E-2</v>
      </c>
      <c r="P7" s="22">
        <f>P6*Допускания!$C$52</f>
        <v>4.083333333333334E-2</v>
      </c>
      <c r="Q7" s="22">
        <f>Q6*Допускания!$C$52</f>
        <v>8.1666666666666679E-2</v>
      </c>
      <c r="R7" s="22">
        <f>R6*Допускания!$C$52</f>
        <v>0.10208333333333333</v>
      </c>
      <c r="S7" s="22">
        <f>S6*Допускания!$C$52</f>
        <v>0.1225</v>
      </c>
      <c r="T7" s="22">
        <f>T6*Допускания!$C$52</f>
        <v>0.14291666666666666</v>
      </c>
      <c r="U7" s="22">
        <f>U6*Допускания!$C$52</f>
        <v>0.15312499999999998</v>
      </c>
      <c r="V7" s="22">
        <f>V6*Допускания!$C$52</f>
        <v>0.20416666666666666</v>
      </c>
      <c r="W7" s="22">
        <f>W6*Допускания!$C$52</f>
        <v>0.13270833333333332</v>
      </c>
      <c r="X7" s="22">
        <f>X6*Допускания!$C$52</f>
        <v>0.11229166666666666</v>
      </c>
      <c r="Y7" s="22">
        <f>Y6*Допускания!$C$52</f>
        <v>7.1458333333333332E-2</v>
      </c>
      <c r="Z7" s="22">
        <f>Z6*Допускания!$C$52</f>
        <v>3.0624999999999999E-2</v>
      </c>
      <c r="AA7" s="22">
        <f>AA6*Допускания!$C$52</f>
        <v>4.3749999999999997E-2</v>
      </c>
      <c r="AB7" s="22">
        <f>AB6*Допускания!$C$52</f>
        <v>5.8333333333333334E-2</v>
      </c>
      <c r="AC7" s="22">
        <f>AC6*Допускания!$C$52</f>
        <v>0.11666666666666667</v>
      </c>
      <c r="AD7" s="22">
        <f>AD6*Допускания!$C$52</f>
        <v>0.14583333333333334</v>
      </c>
      <c r="AE7" s="22">
        <f>AE6*Допускания!$C$52</f>
        <v>0.17499999999999999</v>
      </c>
      <c r="AF7" s="22">
        <f>AF6*Допускания!$C$52</f>
        <v>0.20416666666666666</v>
      </c>
      <c r="AG7" s="22">
        <f>AG6*Допускания!$C$52</f>
        <v>0.21875</v>
      </c>
      <c r="AH7" s="22">
        <f>AH6*Допускания!$C$52</f>
        <v>0.29166666666666669</v>
      </c>
      <c r="AI7" s="22">
        <f>AI6*Допускания!$C$52</f>
        <v>0.18958333333333335</v>
      </c>
      <c r="AJ7" s="22">
        <f>AJ6*Допускания!$C$52</f>
        <v>0.16041666666666668</v>
      </c>
      <c r="AK7" s="22">
        <f>AK6*Допускания!$C$52</f>
        <v>0.10208333333333333</v>
      </c>
      <c r="AL7" s="22">
        <f>AL6*Допускания!$C$52</f>
        <v>4.3749999999999997E-2</v>
      </c>
      <c r="AN7" s="34">
        <f t="shared" si="0"/>
        <v>0.90999999999999992</v>
      </c>
      <c r="AO7" s="34">
        <f t="shared" si="1"/>
        <v>1.2250000000000001</v>
      </c>
      <c r="AP7" s="34">
        <f t="shared" si="2"/>
        <v>1.75</v>
      </c>
    </row>
    <row r="8" spans="2:42" x14ac:dyDescent="0.25">
      <c r="B8" s="9" t="s">
        <v>270</v>
      </c>
      <c r="C8" s="25">
        <f>C6*IF(Обеми!C$5=1,Пакети!$C$29,IF(Обеми!C$5=2,Пакети!$D$29,Пакети!$E$29))*Допускания!$C$54</f>
        <v>0</v>
      </c>
      <c r="D8" s="25">
        <f>D6*IF(Обеми!D$5=1,Пакети!$C$29,IF(Обеми!D$5=2,Пакети!$D$29,Пакети!$E$29))*Допускания!$C$54</f>
        <v>0</v>
      </c>
      <c r="E8" s="25">
        <f>E6*IF(Обеми!E$5=1,Пакети!$C$29,IF(Обеми!E$5=2,Пакети!$D$29,Пакети!$E$29))*Допускания!$C$54</f>
        <v>0</v>
      </c>
      <c r="F8" s="25">
        <f>F6*IF(Обеми!F$5=1,Пакети!$C$29,IF(Обеми!F$5=2,Пакети!$D$29,Пакети!$E$29))*Допускания!$C$54</f>
        <v>842.20388571428578</v>
      </c>
      <c r="G8" s="25">
        <f>G6*IF(Обеми!G$5=1,Пакети!$C$29,IF(Обеми!G$5=2,Пакети!$D$29,Пакети!$E$29))*Допускания!$C$54</f>
        <v>1010.6446628571427</v>
      </c>
      <c r="H8" s="25">
        <f>H6*IF(Обеми!H$5=1,Пакети!$C$29,IF(Обеми!H$5=2,Пакети!$D$29,Пакети!$E$29))*Допускания!$C$54</f>
        <v>1179.0854399999998</v>
      </c>
      <c r="I8" s="25">
        <f>I6*IF(Обеми!I$5=1,Пакети!$C$29,IF(Обеми!I$5=2,Пакети!$D$29,Пакети!$E$29))*Допускания!$C$54</f>
        <v>1263.3058285714285</v>
      </c>
      <c r="J8" s="25">
        <f>J6*IF(Обеми!J$5=1,Пакети!$C$29,IF(Обеми!J$5=2,Пакети!$D$29,Пакети!$E$29))*Допускания!$C$54</f>
        <v>1684.4077714285716</v>
      </c>
      <c r="K8" s="25">
        <f>K6*IF(Обеми!K$5=1,Пакети!$C$29,IF(Обеми!K$5=2,Пакети!$D$29,Пакети!$E$29))*Допускания!$C$54</f>
        <v>1094.8650514285716</v>
      </c>
      <c r="L8" s="25">
        <f>L6*IF(Обеми!L$5=1,Пакети!$C$29,IF(Обеми!L$5=2,Пакети!$D$29,Пакети!$E$29))*Допускания!$C$54</f>
        <v>926.42427428571432</v>
      </c>
      <c r="M8" s="25">
        <f>M6*IF(Обеми!M$5=1,Пакети!$C$29,IF(Обеми!M$5=2,Пакети!$D$29,Пакети!$E$29))*Допускания!$C$54</f>
        <v>589.54271999999992</v>
      </c>
      <c r="N8" s="25">
        <f>N6*IF(Обеми!N$5=1,Пакети!$C$29,IF(Обеми!N$5=2,Пакети!$D$29,Пакети!$E$29))*Допускания!$C$54</f>
        <v>252.66116571428569</v>
      </c>
      <c r="O8" s="25">
        <f>O6*IF(Обеми!O$5=1,Пакети!$C$29,IF(Обеми!O$5=2,Пакети!$D$29,Пакети!$E$29))*Допускания!$C$54</f>
        <v>274.52313000000004</v>
      </c>
      <c r="P8" s="25">
        <f>P6*IF(Обеми!P$5=1,Пакети!$C$29,IF(Обеми!P$5=2,Пакети!$D$29,Пакети!$E$29))*Допускания!$C$54</f>
        <v>366.03084000000001</v>
      </c>
      <c r="Q8" s="25">
        <f>Q6*IF(Обеми!Q$5=1,Пакети!$C$29,IF(Обеми!Q$5=2,Пакети!$D$29,Пакети!$E$29))*Допускания!$C$54</f>
        <v>732.06168000000002</v>
      </c>
      <c r="R8" s="25">
        <f>R6*IF(Обеми!R$5=1,Пакети!$C$29,IF(Обеми!R$5=2,Пакети!$D$29,Пакети!$E$29))*Допускания!$C$54</f>
        <v>915.07710000000009</v>
      </c>
      <c r="S8" s="25">
        <f>S6*IF(Обеми!S$5=1,Пакети!$C$29,IF(Обеми!S$5=2,Пакети!$D$29,Пакети!$E$29))*Допускания!$C$54</f>
        <v>1098.0925200000001</v>
      </c>
      <c r="T8" s="25">
        <f>T6*IF(Обеми!T$5=1,Пакети!$C$29,IF(Обеми!T$5=2,Пакети!$D$29,Пакети!$E$29))*Допускания!$C$54</f>
        <v>1281.1079400000001</v>
      </c>
      <c r="U8" s="25">
        <f>U6*IF(Обеми!U$5=1,Пакети!$C$29,IF(Обеми!U$5=2,Пакети!$D$29,Пакети!$E$29))*Допускания!$C$54</f>
        <v>1372.61565</v>
      </c>
      <c r="V8" s="25">
        <f>V6*IF(Обеми!V$5=1,Пакети!$C$29,IF(Обеми!V$5=2,Пакети!$D$29,Пакети!$E$29))*Допускания!$C$54</f>
        <v>1830.1542000000002</v>
      </c>
      <c r="W8" s="25">
        <f>W6*IF(Обеми!W$5=1,Пакети!$C$29,IF(Обеми!W$5=2,Пакети!$D$29,Пакети!$E$29))*Допускания!$C$54</f>
        <v>1189.60023</v>
      </c>
      <c r="X8" s="25">
        <f>X6*IF(Обеми!X$5=1,Пакети!$C$29,IF(Обеми!X$5=2,Пакети!$D$29,Пакети!$E$29))*Допускания!$C$54</f>
        <v>1006.5848100000001</v>
      </c>
      <c r="Y8" s="25">
        <f>Y6*IF(Обеми!Y$5=1,Пакети!$C$29,IF(Обеми!Y$5=2,Пакети!$D$29,Пакети!$E$29))*Допускания!$C$54</f>
        <v>640.55397000000005</v>
      </c>
      <c r="Z8" s="25">
        <f>Z6*IF(Обеми!Z$5=1,Пакети!$C$29,IF(Обеми!Z$5=2,Пакети!$D$29,Пакети!$E$29))*Допускания!$C$54</f>
        <v>274.52313000000004</v>
      </c>
      <c r="AA8" s="25">
        <f>AA6*IF(Обеми!AA$5=1,Пакети!$C$29,IF(Обеми!AA$5=2,Пакети!$D$29,Пакети!$E$29))*Допускания!$C$54</f>
        <v>371.88899999999995</v>
      </c>
      <c r="AB8" s="25">
        <f>AB6*IF(Обеми!AB$5=1,Пакети!$C$29,IF(Обеми!AB$5=2,Пакети!$D$29,Пакети!$E$29))*Допускания!$C$54</f>
        <v>495.85199999999992</v>
      </c>
      <c r="AC8" s="25">
        <f>AC6*IF(Обеми!AC$5=1,Пакети!$C$29,IF(Обеми!AC$5=2,Пакети!$D$29,Пакети!$E$29))*Допускания!$C$54</f>
        <v>991.70399999999984</v>
      </c>
      <c r="AD8" s="25">
        <f>AD6*IF(Обеми!AD$5=1,Пакети!$C$29,IF(Обеми!AD$5=2,Пакети!$D$29,Пакети!$E$29))*Допускания!$C$54</f>
        <v>1239.6300000000001</v>
      </c>
      <c r="AE8" s="25">
        <f>AE6*IF(Обеми!AE$5=1,Пакети!$C$29,IF(Обеми!AE$5=2,Пакети!$D$29,Пакети!$E$29))*Допускания!$C$54</f>
        <v>1487.5559999999998</v>
      </c>
      <c r="AF8" s="25">
        <f>AF6*IF(Обеми!AF$5=1,Пакети!$C$29,IF(Обеми!AF$5=2,Пакети!$D$29,Пакети!$E$29))*Допускания!$C$54</f>
        <v>1735.4819999999997</v>
      </c>
      <c r="AG8" s="25">
        <f>AG6*IF(Обеми!AG$5=1,Пакети!$C$29,IF(Обеми!AG$5=2,Пакети!$D$29,Пакети!$E$29))*Допускания!$C$54</f>
        <v>1859.4449999999997</v>
      </c>
      <c r="AH8" s="25">
        <f>AH6*IF(Обеми!AH$5=1,Пакети!$C$29,IF(Обеми!AH$5=2,Пакети!$D$29,Пакети!$E$29))*Допускания!$C$54</f>
        <v>2479.2600000000002</v>
      </c>
      <c r="AI8" s="25">
        <f>AI6*IF(Обеми!AI$5=1,Пакети!$C$29,IF(Обеми!AI$5=2,Пакети!$D$29,Пакети!$E$29))*Допускания!$C$54</f>
        <v>1611.519</v>
      </c>
      <c r="AJ8" s="25">
        <f>AJ6*IF(Обеми!AJ$5=1,Пакети!$C$29,IF(Обеми!AJ$5=2,Пакети!$D$29,Пакети!$E$29))*Допускания!$C$54</f>
        <v>1363.5930000000001</v>
      </c>
      <c r="AK8" s="25">
        <f>AK6*IF(Обеми!AK$5=1,Пакети!$C$29,IF(Обеми!AK$5=2,Пакети!$D$29,Пакети!$E$29))*Допускания!$C$54</f>
        <v>867.74099999999987</v>
      </c>
      <c r="AL8" s="25">
        <f>AL6*IF(Обеми!AL$5=1,Пакети!$C$29,IF(Обеми!AL$5=2,Пакети!$D$29,Пакети!$E$29))*Допускания!$C$54</f>
        <v>371.88899999999995</v>
      </c>
      <c r="AN8" s="19">
        <f t="shared" si="0"/>
        <v>8843.1407999999992</v>
      </c>
      <c r="AO8" s="19">
        <f t="shared" si="1"/>
        <v>10980.9252</v>
      </c>
      <c r="AP8" s="19">
        <f t="shared" si="2"/>
        <v>14875.56</v>
      </c>
    </row>
    <row r="9" spans="2:42" x14ac:dyDescent="0.25">
      <c r="B9" s="9" t="s">
        <v>271</v>
      </c>
      <c r="C9" s="25">
        <f>C7*IF(Обеми!C$5=1,Пакети!$C$28,IF(Обеми!C$5=2,Пакети!$D$28,Пакети!$E$28))*Допускания!$C$53</f>
        <v>0</v>
      </c>
      <c r="D9" s="25">
        <f>D7*IF(Обеми!D$5=1,Пакети!$C$28,IF(Обеми!D$5=2,Пакети!$D$28,Пакети!$E$28))*Допускания!$C$53</f>
        <v>0</v>
      </c>
      <c r="E9" s="25">
        <f>E7*IF(Обеми!E$5=1,Пакети!$C$28,IF(Обеми!E$5=2,Пакети!$D$28,Пакети!$E$28))*Допускания!$C$53</f>
        <v>0</v>
      </c>
      <c r="F9" s="25">
        <f>F7*IF(Обеми!F$5=1,Пакети!$C$28,IF(Обеми!F$5=2,Пакети!$D$28,Пакети!$E$28))*Допускания!$C$53</f>
        <v>532.04666666666662</v>
      </c>
      <c r="G9" s="25">
        <f>G7*IF(Обеми!G$5=1,Пакети!$C$28,IF(Обеми!G$5=2,Пакети!$D$28,Пакети!$E$28))*Допускания!$C$53</f>
        <v>638.4559999999999</v>
      </c>
      <c r="H9" s="25">
        <f>H7*IF(Обеми!H$5=1,Пакети!$C$28,IF(Обеми!H$5=2,Пакети!$D$28,Пакети!$E$28))*Допускания!$C$53</f>
        <v>744.86533333333318</v>
      </c>
      <c r="I9" s="25">
        <f>I7*IF(Обеми!I$5=1,Пакети!$C$28,IF(Обеми!I$5=2,Пакети!$D$28,Пакети!$E$28))*Допускания!$C$53</f>
        <v>798.07</v>
      </c>
      <c r="J9" s="25">
        <f>J7*IF(Обеми!J$5=1,Пакети!$C$28,IF(Обеми!J$5=2,Пакети!$D$28,Пакети!$E$28))*Допускания!$C$53</f>
        <v>1064.0933333333332</v>
      </c>
      <c r="K9" s="25">
        <f>K7*IF(Обеми!K$5=1,Пакети!$C$28,IF(Обеми!K$5=2,Пакети!$D$28,Пакети!$E$28))*Допускания!$C$53</f>
        <v>691.66066666666677</v>
      </c>
      <c r="L9" s="25">
        <f>L7*IF(Обеми!L$5=1,Пакети!$C$28,IF(Обеми!L$5=2,Пакети!$D$28,Пакети!$E$28))*Допускания!$C$53</f>
        <v>585.25133333333326</v>
      </c>
      <c r="M9" s="25">
        <f>M7*IF(Обеми!M$5=1,Пакети!$C$28,IF(Обеми!M$5=2,Пакети!$D$28,Пакети!$E$28))*Допускания!$C$53</f>
        <v>372.43266666666659</v>
      </c>
      <c r="N9" s="25">
        <f>N7*IF(Обеми!N$5=1,Пакети!$C$28,IF(Обеми!N$5=2,Пакети!$D$28,Пакети!$E$28))*Допускания!$C$53</f>
        <v>159.61399999999998</v>
      </c>
      <c r="O9" s="25">
        <f>O7*IF(Обеми!O$5=1,Пакети!$C$28,IF(Обеми!O$5=2,Пакети!$D$28,Пакети!$E$28))*Допускания!$C$53</f>
        <v>206.80756249999999</v>
      </c>
      <c r="P9" s="25">
        <f>P7*IF(Обеми!P$5=1,Пакети!$C$28,IF(Обеми!P$5=2,Пакети!$D$28,Пакети!$E$28))*Допускания!$C$53</f>
        <v>275.74341666666669</v>
      </c>
      <c r="Q9" s="25">
        <f>Q7*IF(Обеми!Q$5=1,Пакети!$C$28,IF(Обеми!Q$5=2,Пакети!$D$28,Пакети!$E$28))*Допускания!$C$53</f>
        <v>551.48683333333338</v>
      </c>
      <c r="R9" s="25">
        <f>R7*IF(Обеми!R$5=1,Пакети!$C$28,IF(Обеми!R$5=2,Пакети!$D$28,Пакети!$E$28))*Допускания!$C$53</f>
        <v>689.35854166666661</v>
      </c>
      <c r="S9" s="25">
        <f>S7*IF(Обеми!S$5=1,Пакети!$C$28,IF(Обеми!S$5=2,Пакети!$D$28,Пакети!$E$28))*Допускания!$C$53</f>
        <v>827.23024999999996</v>
      </c>
      <c r="T9" s="25">
        <f>T7*IF(Обеми!T$5=1,Пакети!$C$28,IF(Обеми!T$5=2,Пакети!$D$28,Пакети!$E$28))*Допускания!$C$53</f>
        <v>965.10195833333319</v>
      </c>
      <c r="U9" s="25">
        <f>U7*IF(Обеми!U$5=1,Пакети!$C$28,IF(Обеми!U$5=2,Пакети!$D$28,Пакети!$E$28))*Допускания!$C$53</f>
        <v>1034.0378124999997</v>
      </c>
      <c r="V9" s="25">
        <f>V7*IF(Обеми!V$5=1,Пакети!$C$28,IF(Обеми!V$5=2,Пакети!$D$28,Пакети!$E$28))*Допускания!$C$53</f>
        <v>1378.7170833333332</v>
      </c>
      <c r="W9" s="25">
        <f>W7*IF(Обеми!W$5=1,Пакети!$C$28,IF(Обеми!W$5=2,Пакети!$D$28,Пакети!$E$28))*Допускания!$C$53</f>
        <v>896.16610416666651</v>
      </c>
      <c r="X9" s="25">
        <f>X7*IF(Обеми!X$5=1,Пакети!$C$28,IF(Обеми!X$5=2,Пакети!$D$28,Пакети!$E$28))*Допускания!$C$53</f>
        <v>758.29439583333328</v>
      </c>
      <c r="Y9" s="25">
        <f>Y7*IF(Обеми!Y$5=1,Пакети!$C$28,IF(Обеми!Y$5=2,Пакети!$D$28,Пакети!$E$28))*Допускания!$C$53</f>
        <v>482.55097916666659</v>
      </c>
      <c r="Z9" s="25">
        <f>Z7*IF(Обеми!Z$5=1,Пакети!$C$28,IF(Обеми!Z$5=2,Пакети!$D$28,Пакети!$E$28))*Допускания!$C$53</f>
        <v>206.80756249999999</v>
      </c>
      <c r="AA9" s="25">
        <f>AA7*IF(Обеми!AA$5=1,Пакети!$C$28,IF(Обеми!AA$5=2,Пакети!$D$28,Пакети!$E$28))*Допускания!$C$53</f>
        <v>324.98331249999995</v>
      </c>
      <c r="AB9" s="25">
        <f>AB7*IF(Обеми!AB$5=1,Пакети!$C$28,IF(Обеми!AB$5=2,Пакети!$D$28,Пакети!$E$28))*Допускания!$C$53</f>
        <v>433.31108333333333</v>
      </c>
      <c r="AC9" s="25">
        <f>AC7*IF(Обеми!AC$5=1,Пакети!$C$28,IF(Обеми!AC$5=2,Пакети!$D$28,Пакети!$E$28))*Допускания!$C$53</f>
        <v>866.62216666666666</v>
      </c>
      <c r="AD9" s="25">
        <f>AD7*IF(Обеми!AD$5=1,Пакети!$C$28,IF(Обеми!AD$5=2,Пакети!$D$28,Пакети!$E$28))*Допускания!$C$53</f>
        <v>1083.2777083333333</v>
      </c>
      <c r="AE9" s="25">
        <f>AE7*IF(Обеми!AE$5=1,Пакети!$C$28,IF(Обеми!AE$5=2,Пакети!$D$28,Пакети!$E$28))*Допускания!$C$53</f>
        <v>1299.9332499999998</v>
      </c>
      <c r="AF9" s="25">
        <f>AF7*IF(Обеми!AF$5=1,Пакети!$C$28,IF(Обеми!AF$5=2,Пакети!$D$28,Пакети!$E$28))*Допускания!$C$53</f>
        <v>1516.5887916666666</v>
      </c>
      <c r="AG9" s="25">
        <f>AG7*IF(Обеми!AG$5=1,Пакети!$C$28,IF(Обеми!AG$5=2,Пакети!$D$28,Пакети!$E$28))*Допускания!$C$53</f>
        <v>1624.9165625000001</v>
      </c>
      <c r="AH9" s="25">
        <f>AH7*IF(Обеми!AH$5=1,Пакети!$C$28,IF(Обеми!AH$5=2,Пакети!$D$28,Пакети!$E$28))*Допускания!$C$53</f>
        <v>2166.5554166666666</v>
      </c>
      <c r="AI9" s="25">
        <f>AI7*IF(Обеми!AI$5=1,Пакети!$C$28,IF(Обеми!AI$5=2,Пакети!$D$28,Пакети!$E$28))*Допускания!$C$53</f>
        <v>1408.2610208333335</v>
      </c>
      <c r="AJ9" s="25">
        <f>AJ7*IF(Обеми!AJ$5=1,Пакети!$C$28,IF(Обеми!AJ$5=2,Пакети!$D$28,Пакети!$E$28))*Допускания!$C$53</f>
        <v>1191.6054791666668</v>
      </c>
      <c r="AK9" s="25">
        <f>AK7*IF(Обеми!AK$5=1,Пакети!$C$28,IF(Обеми!AK$5=2,Пакети!$D$28,Пакети!$E$28))*Допускания!$C$53</f>
        <v>758.29439583333328</v>
      </c>
      <c r="AL9" s="25">
        <f>AL7*IF(Обеми!AL$5=1,Пакети!$C$28,IF(Обеми!AL$5=2,Пакети!$D$28,Пакети!$E$28))*Допускания!$C$53</f>
        <v>324.98331249999995</v>
      </c>
      <c r="AN9" s="19">
        <f t="shared" si="0"/>
        <v>5586.49</v>
      </c>
      <c r="AO9" s="19">
        <f t="shared" si="1"/>
        <v>8272.302499999998</v>
      </c>
      <c r="AP9" s="19">
        <f t="shared" si="2"/>
        <v>12999.3325</v>
      </c>
    </row>
    <row r="10" spans="2:42" x14ac:dyDescent="0.25">
      <c r="B10" s="37" t="s">
        <v>272</v>
      </c>
      <c r="C10" s="38">
        <f t="shared" ref="C10:AL10" si="3">C8+C9</f>
        <v>0</v>
      </c>
      <c r="D10" s="38">
        <f t="shared" si="3"/>
        <v>0</v>
      </c>
      <c r="E10" s="38">
        <f t="shared" si="3"/>
        <v>0</v>
      </c>
      <c r="F10" s="38">
        <f t="shared" si="3"/>
        <v>1374.2505523809523</v>
      </c>
      <c r="G10" s="38">
        <f t="shared" si="3"/>
        <v>1649.1006628571427</v>
      </c>
      <c r="H10" s="38">
        <f t="shared" si="3"/>
        <v>1923.950773333333</v>
      </c>
      <c r="I10" s="38">
        <f t="shared" si="3"/>
        <v>2061.3758285714284</v>
      </c>
      <c r="J10" s="38">
        <f t="shared" si="3"/>
        <v>2748.5011047619046</v>
      </c>
      <c r="K10" s="38">
        <f t="shared" si="3"/>
        <v>1786.5257180952385</v>
      </c>
      <c r="L10" s="38">
        <f t="shared" si="3"/>
        <v>1511.6756076190477</v>
      </c>
      <c r="M10" s="38">
        <f t="shared" si="3"/>
        <v>961.97538666666651</v>
      </c>
      <c r="N10" s="38">
        <f t="shared" si="3"/>
        <v>412.27516571428566</v>
      </c>
      <c r="O10" s="38">
        <f t="shared" si="3"/>
        <v>481.33069250000005</v>
      </c>
      <c r="P10" s="38">
        <f t="shared" si="3"/>
        <v>641.7742566666667</v>
      </c>
      <c r="Q10" s="38">
        <f t="shared" si="3"/>
        <v>1283.5485133333334</v>
      </c>
      <c r="R10" s="38">
        <f t="shared" si="3"/>
        <v>1604.4356416666667</v>
      </c>
      <c r="S10" s="38">
        <f t="shared" si="3"/>
        <v>1925.3227700000002</v>
      </c>
      <c r="T10" s="38">
        <f t="shared" si="3"/>
        <v>2246.2098983333335</v>
      </c>
      <c r="U10" s="38">
        <f t="shared" si="3"/>
        <v>2406.6534624999995</v>
      </c>
      <c r="V10" s="38">
        <f t="shared" si="3"/>
        <v>3208.8712833333334</v>
      </c>
      <c r="W10" s="38">
        <f t="shared" si="3"/>
        <v>2085.7663341666666</v>
      </c>
      <c r="X10" s="38">
        <f t="shared" si="3"/>
        <v>1764.8792058333333</v>
      </c>
      <c r="Y10" s="38">
        <f t="shared" si="3"/>
        <v>1123.1049491666668</v>
      </c>
      <c r="Z10" s="38">
        <f t="shared" si="3"/>
        <v>481.33069250000005</v>
      </c>
      <c r="AA10" s="38">
        <f t="shared" si="3"/>
        <v>696.87231249999991</v>
      </c>
      <c r="AB10" s="38">
        <f t="shared" si="3"/>
        <v>929.16308333333325</v>
      </c>
      <c r="AC10" s="38">
        <f t="shared" si="3"/>
        <v>1858.3261666666665</v>
      </c>
      <c r="AD10" s="38">
        <f t="shared" si="3"/>
        <v>2322.9077083333332</v>
      </c>
      <c r="AE10" s="38">
        <f t="shared" si="3"/>
        <v>2787.4892499999996</v>
      </c>
      <c r="AF10" s="38">
        <f t="shared" si="3"/>
        <v>3252.0707916666661</v>
      </c>
      <c r="AG10" s="38">
        <f t="shared" si="3"/>
        <v>3484.3615624999998</v>
      </c>
      <c r="AH10" s="38">
        <f t="shared" si="3"/>
        <v>4645.8154166666664</v>
      </c>
      <c r="AI10" s="38">
        <f t="shared" si="3"/>
        <v>3019.7800208333338</v>
      </c>
      <c r="AJ10" s="38">
        <f t="shared" si="3"/>
        <v>2555.1984791666669</v>
      </c>
      <c r="AK10" s="38">
        <f t="shared" si="3"/>
        <v>1626.035395833333</v>
      </c>
      <c r="AL10" s="38">
        <f t="shared" si="3"/>
        <v>696.87231249999991</v>
      </c>
      <c r="AN10" s="19">
        <f t="shared" si="0"/>
        <v>14429.630799999999</v>
      </c>
      <c r="AO10" s="19">
        <f t="shared" si="1"/>
        <v>19253.227700000003</v>
      </c>
      <c r="AP10" s="19">
        <f t="shared" si="2"/>
        <v>27874.892499999998</v>
      </c>
    </row>
    <row r="11" spans="2:42" x14ac:dyDescent="0.25">
      <c r="B11" s="39" t="s">
        <v>273</v>
      </c>
      <c r="C11" s="40">
        <f>ОПР!C18</f>
        <v>0</v>
      </c>
      <c r="D11" s="40">
        <f>ОПР!D18</f>
        <v>0</v>
      </c>
      <c r="E11" s="40">
        <f>ОПР!E18</f>
        <v>0</v>
      </c>
      <c r="F11" s="40">
        <f>ОПР!F18</f>
        <v>1737.2952380952381</v>
      </c>
      <c r="G11" s="40">
        <f>ОПР!G18</f>
        <v>2084.7542857142857</v>
      </c>
      <c r="H11" s="40">
        <f>ОПР!H18</f>
        <v>2432.2133333333331</v>
      </c>
      <c r="I11" s="40">
        <f>ОПР!I18</f>
        <v>2605.9428571428571</v>
      </c>
      <c r="J11" s="40">
        <f>ОПР!J18</f>
        <v>3474.5904761904762</v>
      </c>
      <c r="K11" s="40">
        <f>ОПР!K18</f>
        <v>2258.4838095238101</v>
      </c>
      <c r="L11" s="40">
        <f>ОПР!L18</f>
        <v>1911.0247619047618</v>
      </c>
      <c r="M11" s="40">
        <f>ОПР!M18</f>
        <v>1216.1066666666666</v>
      </c>
      <c r="N11" s="40">
        <f>ОПР!N18</f>
        <v>521.18857142857144</v>
      </c>
      <c r="O11" s="40">
        <f>ОПР!O18</f>
        <v>675.29</v>
      </c>
      <c r="P11" s="40">
        <f>ОПР!P18</f>
        <v>900.38666666666677</v>
      </c>
      <c r="Q11" s="40">
        <f>ОПР!Q18</f>
        <v>1800.7733333333335</v>
      </c>
      <c r="R11" s="40">
        <f>ОПР!R18</f>
        <v>2250.9666666666667</v>
      </c>
      <c r="S11" s="40">
        <f>ОПР!S18</f>
        <v>2701.16</v>
      </c>
      <c r="T11" s="40">
        <f>ОПР!T18</f>
        <v>3151.353333333333</v>
      </c>
      <c r="U11" s="40">
        <f>ОПР!U18</f>
        <v>3376.4500000000003</v>
      </c>
      <c r="V11" s="40">
        <f>ОПР!V18</f>
        <v>4501.9333333333334</v>
      </c>
      <c r="W11" s="40">
        <f>ОПР!W18</f>
        <v>2926.2566666666662</v>
      </c>
      <c r="X11" s="40">
        <f>ОПР!X18</f>
        <v>2476.0633333333335</v>
      </c>
      <c r="Y11" s="40">
        <f>ОПР!Y18</f>
        <v>1575.6766666666665</v>
      </c>
      <c r="Z11" s="40">
        <f>ОПР!Z18</f>
        <v>675.29</v>
      </c>
      <c r="AA11" s="40">
        <f>ОПР!AA18</f>
        <v>1061.17</v>
      </c>
      <c r="AB11" s="40">
        <f>ОПР!AB18</f>
        <v>1414.8933333333334</v>
      </c>
      <c r="AC11" s="40">
        <f>ОПР!AC18</f>
        <v>2829.7866666666669</v>
      </c>
      <c r="AD11" s="40">
        <f>ОПР!AD18</f>
        <v>3537.2333333333336</v>
      </c>
      <c r="AE11" s="40">
        <f>ОПР!AE18</f>
        <v>4244.68</v>
      </c>
      <c r="AF11" s="40">
        <f>ОПР!AF18</f>
        <v>4952.126666666667</v>
      </c>
      <c r="AG11" s="40">
        <f>ОПР!AG18</f>
        <v>5305.85</v>
      </c>
      <c r="AH11" s="40">
        <f>ОПР!AH18</f>
        <v>7074.4666666666672</v>
      </c>
      <c r="AI11" s="40">
        <f>ОПР!AI18</f>
        <v>4598.4033333333336</v>
      </c>
      <c r="AJ11" s="40">
        <f>ОПР!AJ18</f>
        <v>3890.9566666666674</v>
      </c>
      <c r="AK11" s="40">
        <f>ОПР!AK18</f>
        <v>2476.0633333333335</v>
      </c>
      <c r="AL11" s="40">
        <f>ОПР!AL18</f>
        <v>1061.17</v>
      </c>
      <c r="AN11" s="19">
        <f t="shared" si="0"/>
        <v>18241.599999999999</v>
      </c>
      <c r="AO11" s="19">
        <f t="shared" si="1"/>
        <v>27011.599999999999</v>
      </c>
      <c r="AP11" s="19">
        <f t="shared" si="2"/>
        <v>42446.799999999996</v>
      </c>
    </row>
    <row r="13" spans="2:42" x14ac:dyDescent="0.25">
      <c r="B13" s="9" t="s">
        <v>274</v>
      </c>
      <c r="C13" s="25">
        <f>Допускания!$C$94</f>
        <v>10000</v>
      </c>
      <c r="D13" s="25">
        <f t="shared" ref="D13:AL13" si="4">C14</f>
        <v>10000</v>
      </c>
      <c r="E13" s="25">
        <f t="shared" si="4"/>
        <v>10000</v>
      </c>
      <c r="F13" s="25">
        <f t="shared" si="4"/>
        <v>10000</v>
      </c>
      <c r="G13" s="25">
        <f t="shared" si="4"/>
        <v>10363.044685714285</v>
      </c>
      <c r="H13" s="25">
        <f t="shared" si="4"/>
        <v>10798.698308571427</v>
      </c>
      <c r="I13" s="25">
        <f t="shared" si="4"/>
        <v>11306.960868571427</v>
      </c>
      <c r="J13" s="25">
        <f t="shared" si="4"/>
        <v>11851.527897142856</v>
      </c>
      <c r="K13" s="25">
        <f t="shared" si="4"/>
        <v>12577.617268571428</v>
      </c>
      <c r="L13" s="25">
        <f t="shared" si="4"/>
        <v>13049.575359999999</v>
      </c>
      <c r="M13" s="25">
        <f t="shared" si="4"/>
        <v>13448.924514285714</v>
      </c>
      <c r="N13" s="25">
        <f t="shared" si="4"/>
        <v>13703.055794285714</v>
      </c>
      <c r="O13" s="25">
        <f t="shared" si="4"/>
        <v>13811.9692</v>
      </c>
      <c r="P13" s="25">
        <f t="shared" si="4"/>
        <v>14005.928507500001</v>
      </c>
      <c r="Q13" s="25">
        <f t="shared" si="4"/>
        <v>14264.5409175</v>
      </c>
      <c r="R13" s="25">
        <f t="shared" si="4"/>
        <v>14781.7657375</v>
      </c>
      <c r="S13" s="25">
        <f t="shared" si="4"/>
        <v>15428.296762499998</v>
      </c>
      <c r="T13" s="25">
        <f t="shared" si="4"/>
        <v>16204.133992499997</v>
      </c>
      <c r="U13" s="25">
        <f t="shared" si="4"/>
        <v>17109.277427499997</v>
      </c>
      <c r="V13" s="25">
        <f t="shared" si="4"/>
        <v>18079.073965</v>
      </c>
      <c r="W13" s="25">
        <f t="shared" si="4"/>
        <v>19372.136015</v>
      </c>
      <c r="X13" s="25">
        <f t="shared" si="4"/>
        <v>20212.626347499998</v>
      </c>
      <c r="Y13" s="25">
        <f t="shared" si="4"/>
        <v>20923.810474999998</v>
      </c>
      <c r="Z13" s="25">
        <f t="shared" si="4"/>
        <v>21376.382192499997</v>
      </c>
      <c r="AA13" s="25">
        <f t="shared" si="4"/>
        <v>21570.341499999999</v>
      </c>
      <c r="AB13" s="25">
        <f t="shared" si="4"/>
        <v>21934.639187500001</v>
      </c>
      <c r="AC13" s="25">
        <f t="shared" si="4"/>
        <v>22420.369437500001</v>
      </c>
      <c r="AD13" s="25">
        <f t="shared" si="4"/>
        <v>23391.829937500002</v>
      </c>
      <c r="AE13" s="25">
        <f t="shared" si="4"/>
        <v>24606.155562500004</v>
      </c>
      <c r="AF13" s="25">
        <f t="shared" si="4"/>
        <v>26063.346312500005</v>
      </c>
      <c r="AG13" s="25">
        <f t="shared" si="4"/>
        <v>27763.402187500007</v>
      </c>
      <c r="AH13" s="25">
        <f t="shared" si="4"/>
        <v>29584.890625000011</v>
      </c>
      <c r="AI13" s="25">
        <f t="shared" si="4"/>
        <v>32013.54187500001</v>
      </c>
      <c r="AJ13" s="25">
        <f t="shared" si="4"/>
        <v>33592.16518750001</v>
      </c>
      <c r="AK13" s="25">
        <f t="shared" si="4"/>
        <v>34927.923375000006</v>
      </c>
      <c r="AL13" s="25">
        <f t="shared" si="4"/>
        <v>35777.951312500001</v>
      </c>
    </row>
    <row r="14" spans="2:42" x14ac:dyDescent="0.25">
      <c r="B14" s="18" t="s">
        <v>275</v>
      </c>
      <c r="C14" s="19">
        <f t="shared" ref="C14:AL14" si="5">C13+C11-C10</f>
        <v>10000</v>
      </c>
      <c r="D14" s="19">
        <f t="shared" si="5"/>
        <v>10000</v>
      </c>
      <c r="E14" s="19">
        <f t="shared" si="5"/>
        <v>10000</v>
      </c>
      <c r="F14" s="19">
        <f t="shared" si="5"/>
        <v>10363.044685714285</v>
      </c>
      <c r="G14" s="19">
        <f t="shared" si="5"/>
        <v>10798.698308571427</v>
      </c>
      <c r="H14" s="19">
        <f t="shared" si="5"/>
        <v>11306.960868571427</v>
      </c>
      <c r="I14" s="19">
        <f t="shared" si="5"/>
        <v>11851.527897142856</v>
      </c>
      <c r="J14" s="19">
        <f t="shared" si="5"/>
        <v>12577.617268571428</v>
      </c>
      <c r="K14" s="19">
        <f t="shared" si="5"/>
        <v>13049.575359999999</v>
      </c>
      <c r="L14" s="19">
        <f t="shared" si="5"/>
        <v>13448.924514285714</v>
      </c>
      <c r="M14" s="19">
        <f t="shared" si="5"/>
        <v>13703.055794285714</v>
      </c>
      <c r="N14" s="19">
        <f t="shared" si="5"/>
        <v>13811.9692</v>
      </c>
      <c r="O14" s="19">
        <f t="shared" si="5"/>
        <v>14005.928507500001</v>
      </c>
      <c r="P14" s="19">
        <f t="shared" si="5"/>
        <v>14264.5409175</v>
      </c>
      <c r="Q14" s="19">
        <f t="shared" si="5"/>
        <v>14781.7657375</v>
      </c>
      <c r="R14" s="19">
        <f t="shared" si="5"/>
        <v>15428.296762499998</v>
      </c>
      <c r="S14" s="19">
        <f t="shared" si="5"/>
        <v>16204.133992499997</v>
      </c>
      <c r="T14" s="19">
        <f t="shared" si="5"/>
        <v>17109.277427499997</v>
      </c>
      <c r="U14" s="19">
        <f t="shared" si="5"/>
        <v>18079.073965</v>
      </c>
      <c r="V14" s="19">
        <f t="shared" si="5"/>
        <v>19372.136015</v>
      </c>
      <c r="W14" s="19">
        <f t="shared" si="5"/>
        <v>20212.626347499998</v>
      </c>
      <c r="X14" s="19">
        <f t="shared" si="5"/>
        <v>20923.810474999998</v>
      </c>
      <c r="Y14" s="19">
        <f t="shared" si="5"/>
        <v>21376.382192499997</v>
      </c>
      <c r="Z14" s="19">
        <f t="shared" si="5"/>
        <v>21570.341499999999</v>
      </c>
      <c r="AA14" s="19">
        <f t="shared" si="5"/>
        <v>21934.639187500001</v>
      </c>
      <c r="AB14" s="19">
        <f t="shared" si="5"/>
        <v>22420.369437500001</v>
      </c>
      <c r="AC14" s="19">
        <f t="shared" si="5"/>
        <v>23391.829937500002</v>
      </c>
      <c r="AD14" s="19">
        <f t="shared" si="5"/>
        <v>24606.155562500004</v>
      </c>
      <c r="AE14" s="19">
        <f t="shared" si="5"/>
        <v>26063.346312500005</v>
      </c>
      <c r="AF14" s="19">
        <f t="shared" si="5"/>
        <v>27763.402187500007</v>
      </c>
      <c r="AG14" s="19">
        <f t="shared" si="5"/>
        <v>29584.890625000011</v>
      </c>
      <c r="AH14" s="19">
        <f t="shared" si="5"/>
        <v>32013.54187500001</v>
      </c>
      <c r="AI14" s="19">
        <f t="shared" si="5"/>
        <v>33592.16518750001</v>
      </c>
      <c r="AJ14" s="19">
        <f t="shared" si="5"/>
        <v>34927.923375000006</v>
      </c>
      <c r="AK14" s="19">
        <f t="shared" si="5"/>
        <v>35777.951312500001</v>
      </c>
      <c r="AL14" s="19">
        <f t="shared" si="5"/>
        <v>36142.248999999996</v>
      </c>
    </row>
    <row r="15" spans="2:42" x14ac:dyDescent="0.25">
      <c r="B15" s="6" t="s">
        <v>276</v>
      </c>
      <c r="C15" s="41" t="str">
        <f t="shared" ref="C15:AL15" si="6">IF(C14&gt;=0,"ОК","НЕДОСТИГ")</f>
        <v>ОК</v>
      </c>
      <c r="D15" s="41" t="str">
        <f t="shared" si="6"/>
        <v>ОК</v>
      </c>
      <c r="E15" s="41" t="str">
        <f t="shared" si="6"/>
        <v>ОК</v>
      </c>
      <c r="F15" s="41" t="str">
        <f t="shared" si="6"/>
        <v>ОК</v>
      </c>
      <c r="G15" s="41" t="str">
        <f t="shared" si="6"/>
        <v>ОК</v>
      </c>
      <c r="H15" s="41" t="str">
        <f t="shared" si="6"/>
        <v>ОК</v>
      </c>
      <c r="I15" s="41" t="str">
        <f t="shared" si="6"/>
        <v>ОК</v>
      </c>
      <c r="J15" s="41" t="str">
        <f t="shared" si="6"/>
        <v>ОК</v>
      </c>
      <c r="K15" s="41" t="str">
        <f t="shared" si="6"/>
        <v>ОК</v>
      </c>
      <c r="L15" s="41" t="str">
        <f t="shared" si="6"/>
        <v>ОК</v>
      </c>
      <c r="M15" s="41" t="str">
        <f t="shared" si="6"/>
        <v>ОК</v>
      </c>
      <c r="N15" s="41" t="str">
        <f t="shared" si="6"/>
        <v>ОК</v>
      </c>
      <c r="O15" s="41" t="str">
        <f t="shared" si="6"/>
        <v>ОК</v>
      </c>
      <c r="P15" s="41" t="str">
        <f t="shared" si="6"/>
        <v>ОК</v>
      </c>
      <c r="Q15" s="41" t="str">
        <f t="shared" si="6"/>
        <v>ОК</v>
      </c>
      <c r="R15" s="41" t="str">
        <f t="shared" si="6"/>
        <v>ОК</v>
      </c>
      <c r="S15" s="41" t="str">
        <f t="shared" si="6"/>
        <v>ОК</v>
      </c>
      <c r="T15" s="41" t="str">
        <f t="shared" si="6"/>
        <v>ОК</v>
      </c>
      <c r="U15" s="41" t="str">
        <f t="shared" si="6"/>
        <v>ОК</v>
      </c>
      <c r="V15" s="41" t="str">
        <f t="shared" si="6"/>
        <v>ОК</v>
      </c>
      <c r="W15" s="41" t="str">
        <f t="shared" si="6"/>
        <v>ОК</v>
      </c>
      <c r="X15" s="41" t="str">
        <f t="shared" si="6"/>
        <v>ОК</v>
      </c>
      <c r="Y15" s="41" t="str">
        <f t="shared" si="6"/>
        <v>ОК</v>
      </c>
      <c r="Z15" s="41" t="str">
        <f t="shared" si="6"/>
        <v>ОК</v>
      </c>
      <c r="AA15" s="41" t="str">
        <f t="shared" si="6"/>
        <v>ОК</v>
      </c>
      <c r="AB15" s="41" t="str">
        <f t="shared" si="6"/>
        <v>ОК</v>
      </c>
      <c r="AC15" s="41" t="str">
        <f t="shared" si="6"/>
        <v>ОК</v>
      </c>
      <c r="AD15" s="41" t="str">
        <f t="shared" si="6"/>
        <v>ОК</v>
      </c>
      <c r="AE15" s="41" t="str">
        <f t="shared" si="6"/>
        <v>ОК</v>
      </c>
      <c r="AF15" s="41" t="str">
        <f t="shared" si="6"/>
        <v>ОК</v>
      </c>
      <c r="AG15" s="41" t="str">
        <f t="shared" si="6"/>
        <v>ОК</v>
      </c>
      <c r="AH15" s="41" t="str">
        <f t="shared" si="6"/>
        <v>ОК</v>
      </c>
      <c r="AI15" s="41" t="str">
        <f t="shared" si="6"/>
        <v>ОК</v>
      </c>
      <c r="AJ15" s="41" t="str">
        <f t="shared" si="6"/>
        <v>ОК</v>
      </c>
      <c r="AK15" s="41" t="str">
        <f t="shared" si="6"/>
        <v>ОК</v>
      </c>
      <c r="AL15" s="41" t="str">
        <f t="shared" si="6"/>
        <v>ОК</v>
      </c>
    </row>
    <row r="17" spans="2:3" x14ac:dyDescent="0.25">
      <c r="B17" s="4" t="s">
        <v>277</v>
      </c>
    </row>
    <row r="18" spans="2:3" x14ac:dyDescent="0.25">
      <c r="B18" s="9" t="s">
        <v>278</v>
      </c>
      <c r="C18" s="25">
        <f>SUM(C11:AL11)</f>
        <v>87700.000000000015</v>
      </c>
    </row>
    <row r="19" spans="2:3" x14ac:dyDescent="0.25">
      <c r="B19" s="9" t="s">
        <v>279</v>
      </c>
      <c r="C19" s="25">
        <f>SUM(C10:AL10)</f>
        <v>61557.751000000011</v>
      </c>
    </row>
    <row r="20" spans="2:3" x14ac:dyDescent="0.25">
      <c r="B20" s="6" t="s">
        <v>280</v>
      </c>
      <c r="C20" s="28">
        <f>IF(C19=0,0,C18/C19)</f>
        <v>1.4246784292038219</v>
      </c>
    </row>
    <row r="21" spans="2:3" x14ac:dyDescent="0.25">
      <c r="B21" s="6" t="s">
        <v>281</v>
      </c>
      <c r="C21" s="38">
        <f>MIN(C14:AL14)</f>
        <v>10000</v>
      </c>
    </row>
    <row r="22" spans="2:3" x14ac:dyDescent="0.25">
      <c r="B22" s="6" t="s">
        <v>282</v>
      </c>
      <c r="C22" s="42">
        <f>IF(Пакети!$C$28=0,0,C21/(Пакети!$D$28*Допускания!$C$53))</f>
        <v>1.4808452664781058</v>
      </c>
    </row>
    <row r="23" spans="2:3" x14ac:dyDescent="0.25">
      <c r="B23" s="3" t="s">
        <v>283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P25"/>
  <sheetViews>
    <sheetView zoomScaleNormal="100" workbookViewId="0">
      <selection activeCell="C23" sqref="C23"/>
    </sheetView>
  </sheetViews>
  <sheetFormatPr defaultColWidth="8.7109375" defaultRowHeight="15" x14ac:dyDescent="0.25"/>
  <cols>
    <col min="1" max="1" width="2" customWidth="1"/>
    <col min="2" max="2" width="42" customWidth="1"/>
    <col min="3" max="42" width="10" customWidth="1"/>
  </cols>
  <sheetData>
    <row r="1" spans="2:42" ht="18" x14ac:dyDescent="0.25">
      <c r="B1" s="2" t="s">
        <v>284</v>
      </c>
    </row>
    <row r="2" spans="2:42" x14ac:dyDescent="0.25">
      <c r="B2" s="3" t="s">
        <v>285</v>
      </c>
    </row>
    <row r="4" spans="2:42" x14ac:dyDescent="0.25">
      <c r="B4" s="6" t="s">
        <v>228</v>
      </c>
      <c r="C4" s="31">
        <f>Обеми!C4</f>
        <v>1</v>
      </c>
      <c r="D4" s="31">
        <f>Обеми!D4</f>
        <v>2</v>
      </c>
      <c r="E4" s="31">
        <f>Обеми!E4</f>
        <v>3</v>
      </c>
      <c r="F4" s="31">
        <f>Обеми!F4</f>
        <v>4</v>
      </c>
      <c r="G4" s="31">
        <f>Обеми!G4</f>
        <v>5</v>
      </c>
      <c r="H4" s="31">
        <f>Обеми!H4</f>
        <v>6</v>
      </c>
      <c r="I4" s="31">
        <f>Обеми!I4</f>
        <v>7</v>
      </c>
      <c r="J4" s="31">
        <f>Обеми!J4</f>
        <v>8</v>
      </c>
      <c r="K4" s="31">
        <f>Обеми!K4</f>
        <v>9</v>
      </c>
      <c r="L4" s="31">
        <f>Обеми!L4</f>
        <v>10</v>
      </c>
      <c r="M4" s="31">
        <f>Обеми!M4</f>
        <v>11</v>
      </c>
      <c r="N4" s="31">
        <f>Обеми!N4</f>
        <v>12</v>
      </c>
      <c r="O4" s="31">
        <f>Обеми!O4</f>
        <v>13</v>
      </c>
      <c r="P4" s="31">
        <f>Обеми!P4</f>
        <v>14</v>
      </c>
      <c r="Q4" s="31">
        <f>Обеми!Q4</f>
        <v>15</v>
      </c>
      <c r="R4" s="31">
        <f>Обеми!R4</f>
        <v>16</v>
      </c>
      <c r="S4" s="31">
        <f>Обеми!S4</f>
        <v>17</v>
      </c>
      <c r="T4" s="31">
        <f>Обеми!T4</f>
        <v>18</v>
      </c>
      <c r="U4" s="31">
        <f>Обеми!U4</f>
        <v>19</v>
      </c>
      <c r="V4" s="31">
        <f>Обеми!V4</f>
        <v>20</v>
      </c>
      <c r="W4" s="31">
        <f>Обеми!W4</f>
        <v>21</v>
      </c>
      <c r="X4" s="31">
        <f>Обеми!X4</f>
        <v>22</v>
      </c>
      <c r="Y4" s="31">
        <f>Обеми!Y4</f>
        <v>23</v>
      </c>
      <c r="Z4" s="31">
        <f>Обеми!Z4</f>
        <v>24</v>
      </c>
      <c r="AA4" s="31">
        <f>Обеми!AA4</f>
        <v>25</v>
      </c>
      <c r="AB4" s="31">
        <f>Обеми!AB4</f>
        <v>26</v>
      </c>
      <c r="AC4" s="31">
        <f>Обеми!AC4</f>
        <v>27</v>
      </c>
      <c r="AD4" s="31">
        <f>Обеми!AD4</f>
        <v>28</v>
      </c>
      <c r="AE4" s="31">
        <f>Обеми!AE4</f>
        <v>29</v>
      </c>
      <c r="AF4" s="31">
        <f>Обеми!AF4</f>
        <v>30</v>
      </c>
      <c r="AG4" s="31">
        <f>Обеми!AG4</f>
        <v>31</v>
      </c>
      <c r="AH4" s="31">
        <f>Обеми!AH4</f>
        <v>32</v>
      </c>
      <c r="AI4" s="31">
        <f>Обеми!AI4</f>
        <v>33</v>
      </c>
      <c r="AJ4" s="31">
        <f>Обеми!AJ4</f>
        <v>34</v>
      </c>
      <c r="AK4" s="31">
        <f>Обеми!AK4</f>
        <v>35</v>
      </c>
      <c r="AL4" s="31">
        <f>Обеми!AL4</f>
        <v>36</v>
      </c>
      <c r="AN4" s="32" t="s">
        <v>67</v>
      </c>
      <c r="AO4" s="32" t="s">
        <v>68</v>
      </c>
      <c r="AP4" s="32" t="s">
        <v>69</v>
      </c>
    </row>
    <row r="5" spans="2:42" x14ac:dyDescent="0.25">
      <c r="B5" s="9" t="s">
        <v>286</v>
      </c>
      <c r="C5" s="25">
        <f>ОПР!C10*Допускания!$C$98</f>
        <v>0</v>
      </c>
      <c r="D5" s="25">
        <f>ОПР!D10*Допускания!$C$98+ОПР!C10*(1-Допускания!$C$98)</f>
        <v>0</v>
      </c>
      <c r="E5" s="25">
        <f>ОПР!E10*Допускания!$C$98+ОПР!D10*(1-Допускания!$C$98)</f>
        <v>0</v>
      </c>
      <c r="F5" s="25">
        <f>ОПР!F10*Допускания!$C$98+ОПР!E10*(1-Допускания!$C$98)</f>
        <v>24220.337142857144</v>
      </c>
      <c r="G5" s="25">
        <f>ОПР!G10*Допускания!$C$98+ОПР!F10*(1-Допускания!$C$98)</f>
        <v>31767.933302857145</v>
      </c>
      <c r="H5" s="25">
        <f>ОПР!H10*Допускания!$C$98+ОПР!G10*(1-Допускания!$C$98)</f>
        <v>37166.363169767617</v>
      </c>
      <c r="I5" s="25">
        <f>ОПР!I10*Допускания!$C$98+ОПР!H10*(1-Допускания!$C$98)</f>
        <v>40145.381407266621</v>
      </c>
      <c r="J5" s="25">
        <f>ОПР!J10*Допускания!$C$98+ОПР!I10*(1-Допускания!$C$98)</f>
        <v>52544.782736960879</v>
      </c>
      <c r="K5" s="25">
        <f>ОПР!K10*Допускания!$C$98+ОПР!J10*(1-Допускания!$C$98)</f>
        <v>36962.405617922333</v>
      </c>
      <c r="L5" s="25">
        <f>ОПР!L10*Допускания!$C$98+ОПР!K10*(1-Допускания!$C$98)</f>
        <v>30252.630182502751</v>
      </c>
      <c r="M5" s="25">
        <f>ОПР!M10*Допускания!$C$98+ОПР!L10*(1-Допускания!$C$98)</f>
        <v>20040.777902947495</v>
      </c>
      <c r="N5" s="25">
        <f>ОПР!N10*Допускания!$C$98+ОПР!M10*(1-Допускания!$C$98)</f>
        <v>9285.3526321048666</v>
      </c>
      <c r="O5" s="25">
        <f>ОПР!O10*Допускания!$C$98+ОПР!N10*(1-Допускания!$C$98)</f>
        <v>10360.436055095646</v>
      </c>
      <c r="P5" s="25">
        <f>ОПР!P10*Допускания!$C$98+ОПР!O10*(1-Допускания!$C$98)</f>
        <v>13740.78904879774</v>
      </c>
      <c r="Q5" s="25">
        <f>ОПР!Q10*Допускания!$C$98+ОПР!P10*(1-Допускания!$C$98)</f>
        <v>26646.702403074025</v>
      </c>
      <c r="R5" s="25">
        <f>ОПР!R10*Допускания!$C$98+ОПР!Q10*(1-Допускания!$C$98)</f>
        <v>34328.541200516098</v>
      </c>
      <c r="S5" s="25">
        <f>ОПР!S10*Допускания!$C$98+ОПР!R10*(1-Допускания!$C$98)</f>
        <v>41316.518454245306</v>
      </c>
      <c r="T5" s="25">
        <f>ОПР!T10*Допускания!$C$98+ОПР!S10*(1-Допускания!$C$98)</f>
        <v>48307.619389944673</v>
      </c>
      <c r="U5" s="25">
        <f>ОПР!U10*Допускания!$C$98+ОПР!T10*(1-Допускания!$C$98)</f>
        <v>52163.802143158449</v>
      </c>
      <c r="V5" s="25">
        <f>ОПР!V10*Допускания!$C$98+ОПР!U10*(1-Допускания!$C$98)</f>
        <v>68224.99951767984</v>
      </c>
      <c r="W5" s="25">
        <f>ОПР!W10*Допускания!$C$98+ОПР!V10*(1-Допускания!$C$98)</f>
        <v>48031.94222987174</v>
      </c>
      <c r="X5" s="25">
        <f>ОПР!X10*Допускания!$C$98+ОПР!W10*(1-Допускания!$C$98)</f>
        <v>39335.311525366102</v>
      </c>
      <c r="Y5" s="25">
        <f>ОПР!Y10*Допускания!$C$98+ОПР!X10*(1-Допускания!$C$98)</f>
        <v>26101.778449829842</v>
      </c>
      <c r="Z5" s="25">
        <f>ОПР!Z10*Допускания!$C$98+ОПР!Y10*(1-Допускания!$C$98)</f>
        <v>12164.624305564535</v>
      </c>
      <c r="AA5" s="25">
        <f>ОПР!AA10*Допускания!$C$98+ОПР!Z10*(1-Допускания!$C$98)</f>
        <v>16151.807394453353</v>
      </c>
      <c r="AB5" s="25">
        <f>ОПР!AB10*Допускания!$C$98+ОПР!AA10*(1-Допускания!$C$98)</f>
        <v>21684.646560297726</v>
      </c>
      <c r="AC5" s="25">
        <f>ОПР!AC10*Допускания!$C$98+ОПР!AB10*(1-Допускания!$C$98)</f>
        <v>41962.858387815344</v>
      </c>
      <c r="AD5" s="25">
        <f>ОПР!AD10*Допускания!$C$98+ОПР!AC10*(1-Допускания!$C$98)</f>
        <v>54031.316937379495</v>
      </c>
      <c r="AE5" s="25">
        <f>ОПР!AE10*Допускания!$C$98+ОПР!AD10*(1-Допускания!$C$98)</f>
        <v>65008.978985213784</v>
      </c>
      <c r="AF5" s="25">
        <f>ОПР!AF10*Допускания!$C$98+ОПР!AE10*(1-Допускания!$C$98)</f>
        <v>75991.110569998753</v>
      </c>
      <c r="AG5" s="25">
        <f>ОПР!AG10*Допускания!$C$98+ОПР!AF10*(1-Допускания!$C$98)</f>
        <v>82046.716560438741</v>
      </c>
      <c r="AH5" s="25">
        <f>ОПР!AH10*Допускания!$C$98+ОПР!AG10*(1-Допускания!$C$98)</f>
        <v>107280.59078628859</v>
      </c>
      <c r="AI5" s="25">
        <f>ОПР!AI10*Допускания!$C$98+ОПР!AH10*(1-Допускания!$C$98)</f>
        <v>75544.887934998274</v>
      </c>
      <c r="AJ5" s="25">
        <f>ОПР!AJ10*Допускания!$C$98+ОПР!AI10*(1-Допускания!$C$98)</f>
        <v>61875.611664851625</v>
      </c>
      <c r="AK5" s="25">
        <f>ОПР!AK10*Допускания!$C$98+ОПР!AJ10*(1-Допускания!$C$98)</f>
        <v>41077.829188199466</v>
      </c>
      <c r="AL5" s="25">
        <f>ОПР!AL10*Допускания!$C$98+ОПР!AK10*(1-Допускания!$C$98)</f>
        <v>19175.307638027203</v>
      </c>
      <c r="AN5" s="19">
        <f t="shared" ref="AN5:AN12" si="0">SUM(C5:N5)</f>
        <v>282385.96409518691</v>
      </c>
      <c r="AO5" s="19">
        <f t="shared" ref="AO5:AO12" si="1">SUM(O5:Z5)</f>
        <v>420723.06472314405</v>
      </c>
      <c r="AP5" s="19">
        <f t="shared" ref="AP5:AP12" si="2">SUM(AA5:AL5)</f>
        <v>661831.6626079625</v>
      </c>
    </row>
    <row r="6" spans="2:42" x14ac:dyDescent="0.25">
      <c r="B6" s="9" t="s">
        <v>287</v>
      </c>
      <c r="C6" s="25">
        <f>-(ОПР!C19-ОПР!C18)*Допускания!$C$100</f>
        <v>0</v>
      </c>
      <c r="D6" s="25">
        <f>-(ОПР!D19-ОПР!D18)*Допускания!$C$100</f>
        <v>0</v>
      </c>
      <c r="E6" s="25">
        <f>-(ОПР!E19-ОПР!E18)*Допускания!$C$100</f>
        <v>0</v>
      </c>
      <c r="F6" s="25">
        <f>-(ОПР!F19-ОПР!F18)*Допускания!$C$100</f>
        <v>-14668.828571428574</v>
      </c>
      <c r="G6" s="25">
        <f>-(ОПР!G19-ОПР!G18)*Допускания!$C$100</f>
        <v>-17607.015771428574</v>
      </c>
      <c r="H6" s="25">
        <f>-(ОПР!H19-ОПР!H18)*Допускания!$C$100</f>
        <v>-20546.051896685713</v>
      </c>
      <c r="I6" s="25">
        <f>-(ОПР!I19-ОПР!I18)*Допускания!$C$100</f>
        <v>-22019.047298655085</v>
      </c>
      <c r="J6" s="25">
        <f>-(ОПР!J19-ОПР!J18)*Допускания!$C$100</f>
        <v>-29359.967377408706</v>
      </c>
      <c r="K6" s="25">
        <f>-(ОПР!K19-ОПР!K18)*Допускания!$C$100</f>
        <v>-19100.451866960866</v>
      </c>
      <c r="L6" s="25">
        <f>-(ОПР!L19-ОПР!L18)*Допускания!$C$100</f>
        <v>-16172.186286310887</v>
      </c>
      <c r="M6" s="25">
        <f>-(ОПР!M19-ОПР!M18)*Допускания!$C$100</f>
        <v>-10309.226693163258</v>
      </c>
      <c r="N6" s="25">
        <f>-(ОПР!N19-ОПР!N18)*Допускания!$C$100</f>
        <v>-4444.4619310465241</v>
      </c>
      <c r="O6" s="25">
        <f>-(ОПР!O19-ОПР!O18)*Допускания!$C$100</f>
        <v>-4907.6542984552943</v>
      </c>
      <c r="P6" s="25">
        <f>-(ОПР!P19-ОПР!P18)*Допускания!$C$100</f>
        <v>-6529.813384067651</v>
      </c>
      <c r="Q6" s="25">
        <f>-(ОПР!Q19-ОПР!Q18)*Допускания!$C$100</f>
        <v>-13015.34863699511</v>
      </c>
      <c r="R6" s="25">
        <f>-(ОПР!R19-ОПР!R18)*Допускания!$C$100</f>
        <v>-16261.043367899143</v>
      </c>
      <c r="S6" s="25">
        <f>-(ОПР!S19-ОПР!S18)*Допускания!$C$100</f>
        <v>-19507.749420955955</v>
      </c>
      <c r="T6" s="25">
        <f>-(ОПР!T19-ОПР!T18)*Допускания!$C$100</f>
        <v>-22755.458705588306</v>
      </c>
      <c r="U6" s="25">
        <f>-(ОПР!U19-ОПР!U18)*Допускания!$C$100</f>
        <v>-24383.208195943604</v>
      </c>
      <c r="V6" s="25">
        <f>-(ОПР!V19-ОПР!V18)*Допускания!$C$100</f>
        <v>-32495.244130376042</v>
      </c>
      <c r="W6" s="25">
        <f>-(ОПР!W19-ОПР!W18)*Допускания!$C$100</f>
        <v>-21158.365977333044</v>
      </c>
      <c r="X6" s="25">
        <f>-(ОПР!X19-ОПР!X18)*Допускания!$C$100</f>
        <v>-17922.53876951438</v>
      </c>
      <c r="Y6" s="25">
        <f>-(ОПР!Y19-ОПР!Y18)*Допускания!$C$100</f>
        <v>-11443.711299358265</v>
      </c>
      <c r="Z6" s="25">
        <f>-(ОПР!Z19-ОПР!Z18)*Допускания!$C$100</f>
        <v>-4962.7606889633998</v>
      </c>
      <c r="AA6" s="25">
        <f>-(ОПР!AA19-ОПР!AA18)*Допускания!$C$100</f>
        <v>-6765.8464234516932</v>
      </c>
      <c r="AB6" s="25">
        <f>-(ОПР!AB19-ОПР!AB18)*Допускания!$C$100</f>
        <v>-8989.002318730747</v>
      </c>
      <c r="AC6" s="25">
        <f>-(ОПР!AC19-ОПР!AC18)*Допускания!$C$100</f>
        <v>-17878.078300180903</v>
      </c>
      <c r="AD6" s="25">
        <f>-(ОПР!AD19-ОПР!AD18)*Допускания!$C$100</f>
        <v>-22326.654673779449</v>
      </c>
      <c r="AE6" s="25">
        <f>-(ОПР!AE19-ОПР!AE18)*Допускания!$C$100</f>
        <v>-26776.678103055885</v>
      </c>
      <c r="AF6" s="25">
        <f>-(ОПР!AF19-ОПР!AF18)*Допускания!$C$100</f>
        <v>-31228.13701156477</v>
      </c>
      <c r="AG6" s="25">
        <f>-(ОПР!AG19-ОПР!AG18)*Допускания!$C$100</f>
        <v>-33459.290748805586</v>
      </c>
      <c r="AH6" s="25">
        <f>-(ОПР!AH19-ОПР!AH18)*Допускания!$C$100</f>
        <v>-44578.029756148469</v>
      </c>
      <c r="AI6" s="25">
        <f>-(ОПР!AI19-ОПР!AI18)*Допускания!$C$100</f>
        <v>-29039.658018099282</v>
      </c>
      <c r="AJ6" s="25">
        <f>-(ОПР!AJ19-ОПР!AJ18)*Допускания!$C$100</f>
        <v>-24604.614253954493</v>
      </c>
      <c r="AK6" s="25">
        <f>-(ОПР!AK19-ОПР!AK18)*Допускания!$C$100</f>
        <v>-15724.556839922856</v>
      </c>
      <c r="AL6" s="25">
        <f>-(ОПР!AL19-ОПР!AL18)*Допускания!$C$100</f>
        <v>-6841.4685518701399</v>
      </c>
      <c r="AN6" s="19">
        <f t="shared" si="0"/>
        <v>-154227.23769308819</v>
      </c>
      <c r="AO6" s="19">
        <f t="shared" si="1"/>
        <v>-195342.89687545018</v>
      </c>
      <c r="AP6" s="19">
        <f t="shared" si="2"/>
        <v>-268212.01499956427</v>
      </c>
    </row>
    <row r="7" spans="2:42" x14ac:dyDescent="0.25">
      <c r="B7" s="9" t="s">
        <v>288</v>
      </c>
      <c r="C7" s="25">
        <f>-ОПР!C28</f>
        <v>-3030</v>
      </c>
      <c r="D7" s="25">
        <f>-ОПР!D28</f>
        <v>-3030</v>
      </c>
      <c r="E7" s="25">
        <f>-ОПР!E28</f>
        <v>-3030</v>
      </c>
      <c r="F7" s="25">
        <f>-ОПР!F28</f>
        <v>-6005</v>
      </c>
      <c r="G7" s="25">
        <f>-ОПР!G28</f>
        <v>-6005</v>
      </c>
      <c r="H7" s="25">
        <f>-ОПР!H28</f>
        <v>-6005</v>
      </c>
      <c r="I7" s="25">
        <f>-ОПР!I28</f>
        <v>-6005</v>
      </c>
      <c r="J7" s="25">
        <f>-ОПР!J28</f>
        <v>-6005</v>
      </c>
      <c r="K7" s="25">
        <f>-ОПР!K28</f>
        <v>-6005</v>
      </c>
      <c r="L7" s="25">
        <f>-ОПР!L28</f>
        <v>-6005</v>
      </c>
      <c r="M7" s="25">
        <f>-ОПР!M28</f>
        <v>-6005</v>
      </c>
      <c r="N7" s="25">
        <f>-ОПР!N28</f>
        <v>-6005</v>
      </c>
      <c r="O7" s="25">
        <f>-ОПР!O28</f>
        <v>-10350</v>
      </c>
      <c r="P7" s="25">
        <f>-ОПР!P28</f>
        <v>-10350</v>
      </c>
      <c r="Q7" s="25">
        <f>-ОПР!Q28</f>
        <v>-10350</v>
      </c>
      <c r="R7" s="25">
        <f>-ОПР!R28</f>
        <v>-10350</v>
      </c>
      <c r="S7" s="25">
        <f>-ОПР!S28</f>
        <v>-10350</v>
      </c>
      <c r="T7" s="25">
        <f>-ОПР!T28</f>
        <v>-10350</v>
      </c>
      <c r="U7" s="25">
        <f>-ОПР!U28</f>
        <v>-10350</v>
      </c>
      <c r="V7" s="25">
        <f>-ОПР!V28</f>
        <v>-10350</v>
      </c>
      <c r="W7" s="25">
        <f>-ОПР!W28</f>
        <v>-10350</v>
      </c>
      <c r="X7" s="25">
        <f>-ОПР!X28</f>
        <v>-10350</v>
      </c>
      <c r="Y7" s="25">
        <f>-ОПР!Y28</f>
        <v>-10350</v>
      </c>
      <c r="Z7" s="25">
        <f>-ОПР!Z28</f>
        <v>-10350</v>
      </c>
      <c r="AA7" s="25">
        <f>-ОПР!AA28</f>
        <v>-17849</v>
      </c>
      <c r="AB7" s="25">
        <f>-ОПР!AB28</f>
        <v>-17849</v>
      </c>
      <c r="AC7" s="25">
        <f>-ОПР!AC28</f>
        <v>-17849</v>
      </c>
      <c r="AD7" s="25">
        <f>-ОПР!AD28</f>
        <v>-17849</v>
      </c>
      <c r="AE7" s="25">
        <f>-ОПР!AE28</f>
        <v>-17849</v>
      </c>
      <c r="AF7" s="25">
        <f>-ОПР!AF28</f>
        <v>-17849</v>
      </c>
      <c r="AG7" s="25">
        <f>-ОПР!AG28</f>
        <v>-17849</v>
      </c>
      <c r="AH7" s="25">
        <f>-ОПР!AH28</f>
        <v>-17849</v>
      </c>
      <c r="AI7" s="25">
        <f>-ОПР!AI28</f>
        <v>-17849</v>
      </c>
      <c r="AJ7" s="25">
        <f>-ОПР!AJ28</f>
        <v>-17849</v>
      </c>
      <c r="AK7" s="25">
        <f>-ОПР!AK28</f>
        <v>-17849</v>
      </c>
      <c r="AL7" s="25">
        <f>-ОПР!AL28</f>
        <v>-17849</v>
      </c>
      <c r="AN7" s="19">
        <f t="shared" si="0"/>
        <v>-63135</v>
      </c>
      <c r="AO7" s="19">
        <f t="shared" si="1"/>
        <v>-124200</v>
      </c>
      <c r="AP7" s="19">
        <f t="shared" si="2"/>
        <v>-214188</v>
      </c>
    </row>
    <row r="8" spans="2:42" x14ac:dyDescent="0.25">
      <c r="B8" s="35" t="s">
        <v>289</v>
      </c>
      <c r="C8" s="36">
        <f>-ОПР!C18</f>
        <v>0</v>
      </c>
      <c r="D8" s="36">
        <f>-ОПР!D18</f>
        <v>0</v>
      </c>
      <c r="E8" s="36">
        <f>-ОПР!E18</f>
        <v>0</v>
      </c>
      <c r="F8" s="36">
        <f>-ОПР!F18</f>
        <v>-1737.2952380952381</v>
      </c>
      <c r="G8" s="36">
        <f>-ОПР!G18</f>
        <v>-2084.7542857142857</v>
      </c>
      <c r="H8" s="36">
        <f>-ОПР!H18</f>
        <v>-2432.2133333333331</v>
      </c>
      <c r="I8" s="36">
        <f>-ОПР!I18</f>
        <v>-2605.9428571428571</v>
      </c>
      <c r="J8" s="36">
        <f>-ОПР!J18</f>
        <v>-3474.5904761904762</v>
      </c>
      <c r="K8" s="36">
        <f>-ОПР!K18</f>
        <v>-2258.4838095238101</v>
      </c>
      <c r="L8" s="36">
        <f>-ОПР!L18</f>
        <v>-1911.0247619047618</v>
      </c>
      <c r="M8" s="36">
        <f>-ОПР!M18</f>
        <v>-1216.1066666666666</v>
      </c>
      <c r="N8" s="36">
        <f>-ОПР!N18</f>
        <v>-521.18857142857144</v>
      </c>
      <c r="O8" s="36">
        <f>-ОПР!O18</f>
        <v>-675.29</v>
      </c>
      <c r="P8" s="36">
        <f>-ОПР!P18</f>
        <v>-900.38666666666677</v>
      </c>
      <c r="Q8" s="36">
        <f>-ОПР!Q18</f>
        <v>-1800.7733333333335</v>
      </c>
      <c r="R8" s="36">
        <f>-ОПР!R18</f>
        <v>-2250.9666666666667</v>
      </c>
      <c r="S8" s="36">
        <f>-ОПР!S18</f>
        <v>-2701.16</v>
      </c>
      <c r="T8" s="36">
        <f>-ОПР!T18</f>
        <v>-3151.353333333333</v>
      </c>
      <c r="U8" s="36">
        <f>-ОПР!U18</f>
        <v>-3376.4500000000003</v>
      </c>
      <c r="V8" s="36">
        <f>-ОПР!V18</f>
        <v>-4501.9333333333334</v>
      </c>
      <c r="W8" s="36">
        <f>-ОПР!W18</f>
        <v>-2926.2566666666662</v>
      </c>
      <c r="X8" s="36">
        <f>-ОПР!X18</f>
        <v>-2476.0633333333335</v>
      </c>
      <c r="Y8" s="36">
        <f>-ОПР!Y18</f>
        <v>-1575.6766666666665</v>
      </c>
      <c r="Z8" s="36">
        <f>-ОПР!Z18</f>
        <v>-675.29</v>
      </c>
      <c r="AA8" s="36">
        <f>-ОПР!AA18</f>
        <v>-1061.17</v>
      </c>
      <c r="AB8" s="36">
        <f>-ОПР!AB18</f>
        <v>-1414.8933333333334</v>
      </c>
      <c r="AC8" s="36">
        <f>-ОПР!AC18</f>
        <v>-2829.7866666666669</v>
      </c>
      <c r="AD8" s="36">
        <f>-ОПР!AD18</f>
        <v>-3537.2333333333336</v>
      </c>
      <c r="AE8" s="36">
        <f>-ОПР!AE18</f>
        <v>-4244.68</v>
      </c>
      <c r="AF8" s="36">
        <f>-ОПР!AF18</f>
        <v>-4952.126666666667</v>
      </c>
      <c r="AG8" s="36">
        <f>-ОПР!AG18</f>
        <v>-5305.85</v>
      </c>
      <c r="AH8" s="36">
        <f>-ОПР!AH18</f>
        <v>-7074.4666666666672</v>
      </c>
      <c r="AI8" s="36">
        <f>-ОПР!AI18</f>
        <v>-4598.4033333333336</v>
      </c>
      <c r="AJ8" s="36">
        <f>-ОПР!AJ18</f>
        <v>-3890.9566666666674</v>
      </c>
      <c r="AK8" s="36">
        <f>-ОПР!AK18</f>
        <v>-2476.0633333333335</v>
      </c>
      <c r="AL8" s="36">
        <f>-ОПР!AL18</f>
        <v>-1061.17</v>
      </c>
      <c r="AN8" s="19">
        <f t="shared" si="0"/>
        <v>-18241.599999999999</v>
      </c>
      <c r="AO8" s="19">
        <f t="shared" si="1"/>
        <v>-27011.599999999999</v>
      </c>
      <c r="AP8" s="19">
        <f t="shared" si="2"/>
        <v>-42446.799999999996</v>
      </c>
    </row>
    <row r="9" spans="2:42" x14ac:dyDescent="0.25">
      <c r="B9" s="9" t="s">
        <v>290</v>
      </c>
      <c r="C9" s="25">
        <f ca="1">-IF(MOD(Обеми!C4,12)=0,SUM(OFFSET(ОПР!C34,0,-11,1,12)),0)</f>
        <v>0</v>
      </c>
      <c r="D9" s="25">
        <f ca="1">-IF(MOD(Обеми!D4,12)=0,SUM(OFFSET(ОПР!D34,0,-11,1,12)),0)</f>
        <v>0</v>
      </c>
      <c r="E9" s="25">
        <f ca="1">-IF(MOD(Обеми!E4,12)=0,SUM(OFFSET(ОПР!E34,0,-11,1,12)),0)</f>
        <v>0</v>
      </c>
      <c r="F9" s="25">
        <f ca="1">-IF(MOD(Обеми!F4,12)=0,SUM(OFFSET(ОПР!F34,0,-11,1,12)),0)</f>
        <v>0</v>
      </c>
      <c r="G9" s="25">
        <f ca="1">-IF(MOD(Обеми!G4,12)=0,SUM(OFFSET(ОПР!G34,0,-11,1,12)),0)</f>
        <v>0</v>
      </c>
      <c r="H9" s="25">
        <f ca="1">-IF(MOD(Обеми!H4,12)=0,SUM(OFFSET(ОПР!H34,0,-11,1,12)),0)</f>
        <v>0</v>
      </c>
      <c r="I9" s="25">
        <f ca="1">-IF(MOD(Обеми!I4,12)=0,SUM(OFFSET(ОПР!I34,0,-11,1,12)),0)</f>
        <v>0</v>
      </c>
      <c r="J9" s="25">
        <f ca="1">-IF(MOD(Обеми!J4,12)=0,SUM(OFFSET(ОПР!J34,0,-11,1,12)),0)</f>
        <v>0</v>
      </c>
      <c r="K9" s="25">
        <f ca="1">-IF(MOD(Обеми!K4,12)=0,SUM(OFFSET(ОПР!K34,0,-11,1,12)),0)</f>
        <v>0</v>
      </c>
      <c r="L9" s="25">
        <f ca="1">-IF(MOD(Обеми!L4,12)=0,SUM(OFFSET(ОПР!L34,0,-11,1,12)),0)</f>
        <v>0</v>
      </c>
      <c r="M9" s="25">
        <f ca="1">-IF(MOD(Обеми!M4,12)=0,SUM(OFFSET(ОПР!M34,0,-11,1,12)),0)</f>
        <v>0</v>
      </c>
      <c r="N9" s="25">
        <f ca="1">-IF(MOD(Обеми!N4,12)=0,SUM(OFFSET(ОПР!N34,0,-11,1,12)),0)</f>
        <v>-5869.3998354786363</v>
      </c>
      <c r="O9" s="25">
        <f ca="1">-IF(MOD(Обеми!O4,12)=0,SUM(OFFSET(ОПР!O34,0,-11,1,12)),0)</f>
        <v>0</v>
      </c>
      <c r="P9" s="25">
        <f ca="1">-IF(MOD(Обеми!P4,12)=0,SUM(OFFSET(ОПР!P34,0,-11,1,12)),0)</f>
        <v>0</v>
      </c>
      <c r="Q9" s="25">
        <f ca="1">-IF(MOD(Обеми!Q4,12)=0,SUM(OFFSET(ОПР!Q34,0,-11,1,12)),0)</f>
        <v>0</v>
      </c>
      <c r="R9" s="25">
        <f ca="1">-IF(MOD(Обеми!R4,12)=0,SUM(OFFSET(ОПР!R34,0,-11,1,12)),0)</f>
        <v>0</v>
      </c>
      <c r="S9" s="25">
        <f ca="1">-IF(MOD(Обеми!S4,12)=0,SUM(OFFSET(ОПР!S34,0,-11,1,12)),0)</f>
        <v>0</v>
      </c>
      <c r="T9" s="25">
        <f ca="1">-IF(MOD(Обеми!T4,12)=0,SUM(OFFSET(ОПР!T34,0,-11,1,12)),0)</f>
        <v>0</v>
      </c>
      <c r="U9" s="25">
        <f ca="1">-IF(MOD(Обеми!U4,12)=0,SUM(OFFSET(ОПР!U34,0,-11,1,12)),0)</f>
        <v>0</v>
      </c>
      <c r="V9" s="25">
        <f ca="1">-IF(MOD(Обеми!V4,12)=0,SUM(OFFSET(ОПР!V34,0,-11,1,12)),0)</f>
        <v>0</v>
      </c>
      <c r="W9" s="25">
        <f ca="1">-IF(MOD(Обеми!W4,12)=0,SUM(OFFSET(ОПР!W34,0,-11,1,12)),0)</f>
        <v>0</v>
      </c>
      <c r="X9" s="25">
        <f ca="1">-IF(MOD(Обеми!X4,12)=0,SUM(OFFSET(ОПР!X34,0,-11,1,12)),0)</f>
        <v>0</v>
      </c>
      <c r="Y9" s="25">
        <f ca="1">-IF(MOD(Обеми!Y4,12)=0,SUM(OFFSET(ОПР!Y34,0,-11,1,12)),0)</f>
        <v>0</v>
      </c>
      <c r="Z9" s="25">
        <f ca="1">-IF(MOD(Обеми!Z4,12)=0,SUM(OFFSET(ОПР!Z34,0,-11,1,12)),0)</f>
        <v>-8704.5796008368179</v>
      </c>
      <c r="AA9" s="25">
        <f ca="1">-IF(MOD(Обеми!AA4,12)=0,SUM(OFFSET(ОПР!AA34,0,-11,1,12)),0)</f>
        <v>0</v>
      </c>
      <c r="AB9" s="25">
        <f ca="1">-IF(MOD(Обеми!AB4,12)=0,SUM(OFFSET(ОПР!AB34,0,-11,1,12)),0)</f>
        <v>0</v>
      </c>
      <c r="AC9" s="25">
        <f ca="1">-IF(MOD(Обеми!AC4,12)=0,SUM(OFFSET(ОПР!AC34,0,-11,1,12)),0)</f>
        <v>0</v>
      </c>
      <c r="AD9" s="25">
        <f ca="1">-IF(MOD(Обеми!AD4,12)=0,SUM(OFFSET(ОПР!AD34,0,-11,1,12)),0)</f>
        <v>0</v>
      </c>
      <c r="AE9" s="25">
        <f ca="1">-IF(MOD(Обеми!AE4,12)=0,SUM(OFFSET(ОПР!AE34,0,-11,1,12)),0)</f>
        <v>0</v>
      </c>
      <c r="AF9" s="25">
        <f ca="1">-IF(MOD(Обеми!AF4,12)=0,SUM(OFFSET(ОПР!AF34,0,-11,1,12)),0)</f>
        <v>0</v>
      </c>
      <c r="AG9" s="25">
        <f ca="1">-IF(MOD(Обеми!AG4,12)=0,SUM(OFFSET(ОПР!AG34,0,-11,1,12)),0)</f>
        <v>0</v>
      </c>
      <c r="AH9" s="25">
        <f ca="1">-IF(MOD(Обеми!AH4,12)=0,SUM(OFFSET(ОПР!AH34,0,-11,1,12)),0)</f>
        <v>0</v>
      </c>
      <c r="AI9" s="25">
        <f ca="1">-IF(MOD(Обеми!AI4,12)=0,SUM(OFFSET(ОПР!AI34,0,-11,1,12)),0)</f>
        <v>0</v>
      </c>
      <c r="AJ9" s="25">
        <f ca="1">-IF(MOD(Обеми!AJ4,12)=0,SUM(OFFSET(ОПР!AJ34,0,-11,1,12)),0)</f>
        <v>0</v>
      </c>
      <c r="AK9" s="25">
        <f ca="1">-IF(MOD(Обеми!AK4,12)=0,SUM(OFFSET(ОПР!AK34,0,-11,1,12)),0)</f>
        <v>0</v>
      </c>
      <c r="AL9" s="25">
        <f ca="1">-IF(MOD(Обеми!AL4,12)=0,SUM(OFFSET(ОПР!AL34,0,-11,1,12)),0)</f>
        <v>-15885.91817301544</v>
      </c>
      <c r="AN9" s="19">
        <f t="shared" ca="1" si="0"/>
        <v>-5869.3998354786363</v>
      </c>
      <c r="AO9" s="19">
        <f t="shared" ca="1" si="1"/>
        <v>-8704.5796008368179</v>
      </c>
      <c r="AP9" s="19">
        <f t="shared" ca="1" si="2"/>
        <v>-15885.91817301544</v>
      </c>
    </row>
    <row r="10" spans="2:42" x14ac:dyDescent="0.25">
      <c r="B10" s="9" t="s">
        <v>291</v>
      </c>
      <c r="C10" s="25">
        <f>-IF(Обеми!C4&lt;=3,IF(Обеми!C4=1,Допускания!$C$91*0.6,IF(Обеми!C4=2,Допускания!$C$91*0.4,0)),IF(Обеми!C4=13,Допускания!$D$91,IF(Обеми!C4=25,Допускания!$E$91,0)))</f>
        <v>-3420</v>
      </c>
      <c r="D10" s="25">
        <f>-IF(Обеми!D4&lt;=3,IF(Обеми!D4=1,Допускания!$C$91*0.6,IF(Обеми!D4=2,Допускания!$C$91*0.4,0)),IF(Обеми!D4=13,Допускания!$D$91,IF(Обеми!D4=25,Допускания!$E$91,0)))</f>
        <v>-2280</v>
      </c>
      <c r="E10" s="25">
        <f>-IF(Обеми!E4&lt;=3,IF(Обеми!E4=1,Допускания!$C$91*0.6,IF(Обеми!E4=2,Допускания!$C$91*0.4,0)),IF(Обеми!E4=13,Допускания!$D$91,IF(Обеми!E4=25,Допускания!$E$91,0)))</f>
        <v>0</v>
      </c>
      <c r="F10" s="25">
        <f>-IF(Обеми!F4&lt;=3,IF(Обеми!F4=1,Допускания!$C$91*0.6,IF(Обеми!F4=2,Допускания!$C$91*0.4,0)),IF(Обеми!F4=13,Допускания!$D$91,IF(Обеми!F4=25,Допускания!$E$91,0)))</f>
        <v>0</v>
      </c>
      <c r="G10" s="25">
        <f>-IF(Обеми!G4&lt;=3,IF(Обеми!G4=1,Допускания!$C$91*0.6,IF(Обеми!G4=2,Допускания!$C$91*0.4,0)),IF(Обеми!G4=13,Допускания!$D$91,IF(Обеми!G4=25,Допускания!$E$91,0)))</f>
        <v>0</v>
      </c>
      <c r="H10" s="25">
        <f>-IF(Обеми!H4&lt;=3,IF(Обеми!H4=1,Допускания!$C$91*0.6,IF(Обеми!H4=2,Допускания!$C$91*0.4,0)),IF(Обеми!H4=13,Допускания!$D$91,IF(Обеми!H4=25,Допускания!$E$91,0)))</f>
        <v>0</v>
      </c>
      <c r="I10" s="25">
        <f>-IF(Обеми!I4&lt;=3,IF(Обеми!I4=1,Допускания!$C$91*0.6,IF(Обеми!I4=2,Допускания!$C$91*0.4,0)),IF(Обеми!I4=13,Допускания!$D$91,IF(Обеми!I4=25,Допускания!$E$91,0)))</f>
        <v>0</v>
      </c>
      <c r="J10" s="25">
        <f>-IF(Обеми!J4&lt;=3,IF(Обеми!J4=1,Допускания!$C$91*0.6,IF(Обеми!J4=2,Допускания!$C$91*0.4,0)),IF(Обеми!J4=13,Допускания!$D$91,IF(Обеми!J4=25,Допускания!$E$91,0)))</f>
        <v>0</v>
      </c>
      <c r="K10" s="25">
        <f>-IF(Обеми!K4&lt;=3,IF(Обеми!K4=1,Допускания!$C$91*0.6,IF(Обеми!K4=2,Допускания!$C$91*0.4,0)),IF(Обеми!K4=13,Допускания!$D$91,IF(Обеми!K4=25,Допускания!$E$91,0)))</f>
        <v>0</v>
      </c>
      <c r="L10" s="25">
        <f>-IF(Обеми!L4&lt;=3,IF(Обеми!L4=1,Допускания!$C$91*0.6,IF(Обеми!L4=2,Допускания!$C$91*0.4,0)),IF(Обеми!L4=13,Допускания!$D$91,IF(Обеми!L4=25,Допускания!$E$91,0)))</f>
        <v>0</v>
      </c>
      <c r="M10" s="25">
        <f>-IF(Обеми!M4&lt;=3,IF(Обеми!M4=1,Допускания!$C$91*0.6,IF(Обеми!M4=2,Допускания!$C$91*0.4,0)),IF(Обеми!M4=13,Допускания!$D$91,IF(Обеми!M4=25,Допускания!$E$91,0)))</f>
        <v>0</v>
      </c>
      <c r="N10" s="25">
        <f>-IF(Обеми!N4&lt;=3,IF(Обеми!N4=1,Допускания!$C$91*0.6,IF(Обеми!N4=2,Допускания!$C$91*0.4,0)),IF(Обеми!N4=13,Допускания!$D$91,IF(Обеми!N4=25,Допускания!$E$91,0)))</f>
        <v>0</v>
      </c>
      <c r="O10" s="25">
        <f>-IF(Обеми!O4&lt;=3,IF(Обеми!O4=1,Допускания!$C$91*0.6,IF(Обеми!O4=2,Допускания!$C$91*0.4,0)),IF(Обеми!O4=13,Допускания!$D$91,IF(Обеми!O4=25,Допускания!$E$91,0)))</f>
        <v>-5100</v>
      </c>
      <c r="P10" s="25">
        <f>-IF(Обеми!P4&lt;=3,IF(Обеми!P4=1,Допускания!$C$91*0.6,IF(Обеми!P4=2,Допускания!$C$91*0.4,0)),IF(Обеми!P4=13,Допускания!$D$91,IF(Обеми!P4=25,Допускания!$E$91,0)))</f>
        <v>0</v>
      </c>
      <c r="Q10" s="25">
        <f>-IF(Обеми!Q4&lt;=3,IF(Обеми!Q4=1,Допускания!$C$91*0.6,IF(Обеми!Q4=2,Допускания!$C$91*0.4,0)),IF(Обеми!Q4=13,Допускания!$D$91,IF(Обеми!Q4=25,Допускания!$E$91,0)))</f>
        <v>0</v>
      </c>
      <c r="R10" s="25">
        <f>-IF(Обеми!R4&lt;=3,IF(Обеми!R4=1,Допускания!$C$91*0.6,IF(Обеми!R4=2,Допускания!$C$91*0.4,0)),IF(Обеми!R4=13,Допускания!$D$91,IF(Обеми!R4=25,Допускания!$E$91,0)))</f>
        <v>0</v>
      </c>
      <c r="S10" s="25">
        <f>-IF(Обеми!S4&lt;=3,IF(Обеми!S4=1,Допускания!$C$91*0.6,IF(Обеми!S4=2,Допускания!$C$91*0.4,0)),IF(Обеми!S4=13,Допускания!$D$91,IF(Обеми!S4=25,Допускания!$E$91,0)))</f>
        <v>0</v>
      </c>
      <c r="T10" s="25">
        <f>-IF(Обеми!T4&lt;=3,IF(Обеми!T4=1,Допускания!$C$91*0.6,IF(Обеми!T4=2,Допускания!$C$91*0.4,0)),IF(Обеми!T4=13,Допускания!$D$91,IF(Обеми!T4=25,Допускания!$E$91,0)))</f>
        <v>0</v>
      </c>
      <c r="U10" s="25">
        <f>-IF(Обеми!U4&lt;=3,IF(Обеми!U4=1,Допускания!$C$91*0.6,IF(Обеми!U4=2,Допускания!$C$91*0.4,0)),IF(Обеми!U4=13,Допускания!$D$91,IF(Обеми!U4=25,Допускания!$E$91,0)))</f>
        <v>0</v>
      </c>
      <c r="V10" s="25">
        <f>-IF(Обеми!V4&lt;=3,IF(Обеми!V4=1,Допускания!$C$91*0.6,IF(Обеми!V4=2,Допускания!$C$91*0.4,0)),IF(Обеми!V4=13,Допускания!$D$91,IF(Обеми!V4=25,Допускания!$E$91,0)))</f>
        <v>0</v>
      </c>
      <c r="W10" s="25">
        <f>-IF(Обеми!W4&lt;=3,IF(Обеми!W4=1,Допускания!$C$91*0.6,IF(Обеми!W4=2,Допускания!$C$91*0.4,0)),IF(Обеми!W4=13,Допускания!$D$91,IF(Обеми!W4=25,Допускания!$E$91,0)))</f>
        <v>0</v>
      </c>
      <c r="X10" s="25">
        <f>-IF(Обеми!X4&lt;=3,IF(Обеми!X4=1,Допускания!$C$91*0.6,IF(Обеми!X4=2,Допускания!$C$91*0.4,0)),IF(Обеми!X4=13,Допускания!$D$91,IF(Обеми!X4=25,Допускания!$E$91,0)))</f>
        <v>0</v>
      </c>
      <c r="Y10" s="25">
        <f>-IF(Обеми!Y4&lt;=3,IF(Обеми!Y4=1,Допускания!$C$91*0.6,IF(Обеми!Y4=2,Допускания!$C$91*0.4,0)),IF(Обеми!Y4=13,Допускания!$D$91,IF(Обеми!Y4=25,Допускания!$E$91,0)))</f>
        <v>0</v>
      </c>
      <c r="Z10" s="25">
        <f>-IF(Обеми!Z4&lt;=3,IF(Обеми!Z4=1,Допускания!$C$91*0.6,IF(Обеми!Z4=2,Допускания!$C$91*0.4,0)),IF(Обеми!Z4=13,Допускания!$D$91,IF(Обеми!Z4=25,Допускания!$E$91,0)))</f>
        <v>0</v>
      </c>
      <c r="AA10" s="25">
        <f>-IF(Обеми!AA4&lt;=3,IF(Обеми!AA4=1,Допускания!$C$91*0.6,IF(Обеми!AA4=2,Допускания!$C$91*0.4,0)),IF(Обеми!AA4=13,Допускания!$D$91,IF(Обеми!AA4=25,Допускания!$E$91,0)))</f>
        <v>-5600</v>
      </c>
      <c r="AB10" s="25">
        <f>-IF(Обеми!AB4&lt;=3,IF(Обеми!AB4=1,Допускания!$C$91*0.6,IF(Обеми!AB4=2,Допускания!$C$91*0.4,0)),IF(Обеми!AB4=13,Допускания!$D$91,IF(Обеми!AB4=25,Допускания!$E$91,0)))</f>
        <v>0</v>
      </c>
      <c r="AC10" s="25">
        <f>-IF(Обеми!AC4&lt;=3,IF(Обеми!AC4=1,Допускания!$C$91*0.6,IF(Обеми!AC4=2,Допускания!$C$91*0.4,0)),IF(Обеми!AC4=13,Допускания!$D$91,IF(Обеми!AC4=25,Допускания!$E$91,0)))</f>
        <v>0</v>
      </c>
      <c r="AD10" s="25">
        <f>-IF(Обеми!AD4&lt;=3,IF(Обеми!AD4=1,Допускания!$C$91*0.6,IF(Обеми!AD4=2,Допускания!$C$91*0.4,0)),IF(Обеми!AD4=13,Допускания!$D$91,IF(Обеми!AD4=25,Допускания!$E$91,0)))</f>
        <v>0</v>
      </c>
      <c r="AE10" s="25">
        <f>-IF(Обеми!AE4&lt;=3,IF(Обеми!AE4=1,Допускания!$C$91*0.6,IF(Обеми!AE4=2,Допускания!$C$91*0.4,0)),IF(Обеми!AE4=13,Допускания!$D$91,IF(Обеми!AE4=25,Допускания!$E$91,0)))</f>
        <v>0</v>
      </c>
      <c r="AF10" s="25">
        <f>-IF(Обеми!AF4&lt;=3,IF(Обеми!AF4=1,Допускания!$C$91*0.6,IF(Обеми!AF4=2,Допускания!$C$91*0.4,0)),IF(Обеми!AF4=13,Допускания!$D$91,IF(Обеми!AF4=25,Допускания!$E$91,0)))</f>
        <v>0</v>
      </c>
      <c r="AG10" s="25">
        <f>-IF(Обеми!AG4&lt;=3,IF(Обеми!AG4=1,Допускания!$C$91*0.6,IF(Обеми!AG4=2,Допускания!$C$91*0.4,0)),IF(Обеми!AG4=13,Допускания!$D$91,IF(Обеми!AG4=25,Допускания!$E$91,0)))</f>
        <v>0</v>
      </c>
      <c r="AH10" s="25">
        <f>-IF(Обеми!AH4&lt;=3,IF(Обеми!AH4=1,Допускания!$C$91*0.6,IF(Обеми!AH4=2,Допускания!$C$91*0.4,0)),IF(Обеми!AH4=13,Допускания!$D$91,IF(Обеми!AH4=25,Допускания!$E$91,0)))</f>
        <v>0</v>
      </c>
      <c r="AI10" s="25">
        <f>-IF(Обеми!AI4&lt;=3,IF(Обеми!AI4=1,Допускания!$C$91*0.6,IF(Обеми!AI4=2,Допускания!$C$91*0.4,0)),IF(Обеми!AI4=13,Допускания!$D$91,IF(Обеми!AI4=25,Допускания!$E$91,0)))</f>
        <v>0</v>
      </c>
      <c r="AJ10" s="25">
        <f>-IF(Обеми!AJ4&lt;=3,IF(Обеми!AJ4=1,Допускания!$C$91*0.6,IF(Обеми!AJ4=2,Допускания!$C$91*0.4,0)),IF(Обеми!AJ4=13,Допускания!$D$91,IF(Обеми!AJ4=25,Допускания!$E$91,0)))</f>
        <v>0</v>
      </c>
      <c r="AK10" s="25">
        <f>-IF(Обеми!AK4&lt;=3,IF(Обеми!AK4=1,Допускания!$C$91*0.6,IF(Обеми!AK4=2,Допускания!$C$91*0.4,0)),IF(Обеми!AK4=13,Допускания!$D$91,IF(Обеми!AK4=25,Допускания!$E$91,0)))</f>
        <v>0</v>
      </c>
      <c r="AL10" s="25">
        <f>-IF(Обеми!AL4&lt;=3,IF(Обеми!AL4=1,Допускания!$C$91*0.6,IF(Обеми!AL4=2,Допускания!$C$91*0.4,0)),IF(Обеми!AL4=13,Допускания!$D$91,IF(Обеми!AL4=25,Допускания!$E$91,0)))</f>
        <v>0</v>
      </c>
      <c r="AN10" s="19">
        <f t="shared" si="0"/>
        <v>-5700</v>
      </c>
      <c r="AO10" s="19">
        <f t="shared" si="1"/>
        <v>-5100</v>
      </c>
      <c r="AP10" s="19">
        <f t="shared" si="2"/>
        <v>-5600</v>
      </c>
    </row>
    <row r="11" spans="2:42" x14ac:dyDescent="0.25">
      <c r="B11" s="9" t="s">
        <v>292</v>
      </c>
      <c r="C11" s="25">
        <f>Допускания!$C$93-Допускания!$C$94</f>
        <v>40000</v>
      </c>
      <c r="D11" s="25">
        <f>0</f>
        <v>0</v>
      </c>
      <c r="E11" s="25">
        <f>0</f>
        <v>0</v>
      </c>
      <c r="F11" s="25">
        <f>0</f>
        <v>0</v>
      </c>
      <c r="G11" s="25">
        <f>0</f>
        <v>0</v>
      </c>
      <c r="H11" s="25">
        <f>0</f>
        <v>0</v>
      </c>
      <c r="I11" s="25">
        <f>0</f>
        <v>0</v>
      </c>
      <c r="J11" s="25">
        <f>0</f>
        <v>0</v>
      </c>
      <c r="K11" s="25">
        <f>0</f>
        <v>0</v>
      </c>
      <c r="L11" s="25">
        <f>0</f>
        <v>0</v>
      </c>
      <c r="M11" s="25">
        <f>0</f>
        <v>0</v>
      </c>
      <c r="N11" s="25">
        <f>0</f>
        <v>0</v>
      </c>
      <c r="O11" s="25">
        <f>0</f>
        <v>0</v>
      </c>
      <c r="P11" s="25">
        <f>0</f>
        <v>0</v>
      </c>
      <c r="Q11" s="25">
        <f>0</f>
        <v>0</v>
      </c>
      <c r="R11" s="25">
        <f>0</f>
        <v>0</v>
      </c>
      <c r="S11" s="25">
        <f>0</f>
        <v>0</v>
      </c>
      <c r="T11" s="25">
        <f>0</f>
        <v>0</v>
      </c>
      <c r="U11" s="25">
        <f>0</f>
        <v>0</v>
      </c>
      <c r="V11" s="25">
        <f>0</f>
        <v>0</v>
      </c>
      <c r="W11" s="25">
        <f>0</f>
        <v>0</v>
      </c>
      <c r="X11" s="25">
        <f>0</f>
        <v>0</v>
      </c>
      <c r="Y11" s="25">
        <f>0</f>
        <v>0</v>
      </c>
      <c r="Z11" s="25">
        <f>0</f>
        <v>0</v>
      </c>
      <c r="AA11" s="25">
        <f>0</f>
        <v>0</v>
      </c>
      <c r="AB11" s="25">
        <f>0</f>
        <v>0</v>
      </c>
      <c r="AC11" s="25">
        <f>0</f>
        <v>0</v>
      </c>
      <c r="AD11" s="25">
        <f>0</f>
        <v>0</v>
      </c>
      <c r="AE11" s="25">
        <f>0</f>
        <v>0</v>
      </c>
      <c r="AF11" s="25">
        <f>0</f>
        <v>0</v>
      </c>
      <c r="AG11" s="25">
        <f>0</f>
        <v>0</v>
      </c>
      <c r="AH11" s="25">
        <f>0</f>
        <v>0</v>
      </c>
      <c r="AI11" s="25">
        <f>0</f>
        <v>0</v>
      </c>
      <c r="AJ11" s="25">
        <f>0</f>
        <v>0</v>
      </c>
      <c r="AK11" s="25">
        <f>0</f>
        <v>0</v>
      </c>
      <c r="AL11" s="25">
        <f>0</f>
        <v>0</v>
      </c>
      <c r="AN11" s="19">
        <f t="shared" si="0"/>
        <v>40000</v>
      </c>
      <c r="AO11" s="19">
        <f t="shared" si="1"/>
        <v>0</v>
      </c>
      <c r="AP11" s="19">
        <f t="shared" si="2"/>
        <v>0</v>
      </c>
    </row>
    <row r="12" spans="2:42" x14ac:dyDescent="0.25">
      <c r="B12" s="18" t="s">
        <v>293</v>
      </c>
      <c r="C12" s="19">
        <f t="shared" ref="C12:AL12" ca="1" si="3">SUM(C5:C11)</f>
        <v>33550</v>
      </c>
      <c r="D12" s="19">
        <f t="shared" ca="1" si="3"/>
        <v>-5310</v>
      </c>
      <c r="E12" s="19">
        <f t="shared" ca="1" si="3"/>
        <v>-3030</v>
      </c>
      <c r="F12" s="19">
        <f t="shared" ca="1" si="3"/>
        <v>1809.2133333333325</v>
      </c>
      <c r="G12" s="19">
        <f t="shared" ca="1" si="3"/>
        <v>6071.1632457142859</v>
      </c>
      <c r="H12" s="19">
        <f t="shared" ca="1" si="3"/>
        <v>8183.0979397485717</v>
      </c>
      <c r="I12" s="19">
        <f t="shared" ca="1" si="3"/>
        <v>9515.3912514686781</v>
      </c>
      <c r="J12" s="19">
        <f t="shared" ca="1" si="3"/>
        <v>13705.224883361696</v>
      </c>
      <c r="K12" s="19">
        <f t="shared" ca="1" si="3"/>
        <v>9598.4699414376573</v>
      </c>
      <c r="L12" s="19">
        <f t="shared" ca="1" si="3"/>
        <v>6164.4191342871018</v>
      </c>
      <c r="M12" s="19">
        <f t="shared" ca="1" si="3"/>
        <v>2510.44454311757</v>
      </c>
      <c r="N12" s="19">
        <f t="shared" ca="1" si="3"/>
        <v>-7554.6977058488646</v>
      </c>
      <c r="O12" s="19">
        <f t="shared" ca="1" si="3"/>
        <v>-10672.508243359647</v>
      </c>
      <c r="P12" s="19">
        <f t="shared" ca="1" si="3"/>
        <v>-4039.4110019365776</v>
      </c>
      <c r="Q12" s="19">
        <f t="shared" ca="1" si="3"/>
        <v>1480.5804327455817</v>
      </c>
      <c r="R12" s="19">
        <f t="shared" ca="1" si="3"/>
        <v>5466.5311659502877</v>
      </c>
      <c r="S12" s="19">
        <f t="shared" ca="1" si="3"/>
        <v>8757.6090332893509</v>
      </c>
      <c r="T12" s="19">
        <f t="shared" ca="1" si="3"/>
        <v>12050.807351023035</v>
      </c>
      <c r="U12" s="19">
        <f t="shared" ca="1" si="3"/>
        <v>14054.143947214845</v>
      </c>
      <c r="V12" s="19">
        <f t="shared" ca="1" si="3"/>
        <v>20877.822053970463</v>
      </c>
      <c r="W12" s="19">
        <f t="shared" ca="1" si="3"/>
        <v>13597.31958587203</v>
      </c>
      <c r="X12" s="19">
        <f t="shared" ca="1" si="3"/>
        <v>8586.7094225183882</v>
      </c>
      <c r="Y12" s="19">
        <f t="shared" ca="1" si="3"/>
        <v>2732.3904838049111</v>
      </c>
      <c r="Z12" s="19">
        <f t="shared" ca="1" si="3"/>
        <v>-12528.005984235682</v>
      </c>
      <c r="AA12" s="19">
        <f t="shared" ca="1" si="3"/>
        <v>-15124.209028998341</v>
      </c>
      <c r="AB12" s="19">
        <f t="shared" ca="1" si="3"/>
        <v>-6568.2490917663545</v>
      </c>
      <c r="AC12" s="19">
        <f t="shared" ca="1" si="3"/>
        <v>3405.993420967774</v>
      </c>
      <c r="AD12" s="19">
        <f t="shared" ca="1" si="3"/>
        <v>10318.428930266713</v>
      </c>
      <c r="AE12" s="19">
        <f t="shared" ca="1" si="3"/>
        <v>16138.620882157898</v>
      </c>
      <c r="AF12" s="19">
        <f t="shared" ca="1" si="3"/>
        <v>21961.846891767313</v>
      </c>
      <c r="AG12" s="19">
        <f t="shared" ca="1" si="3"/>
        <v>25432.575811633156</v>
      </c>
      <c r="AH12" s="19">
        <f t="shared" ca="1" si="3"/>
        <v>37779.094363473458</v>
      </c>
      <c r="AI12" s="19">
        <f t="shared" ca="1" si="3"/>
        <v>24057.826583565657</v>
      </c>
      <c r="AJ12" s="19">
        <f t="shared" ca="1" si="3"/>
        <v>15531.040744230469</v>
      </c>
      <c r="AK12" s="19">
        <f t="shared" ca="1" si="3"/>
        <v>5028.2090149432752</v>
      </c>
      <c r="AL12" s="19">
        <f t="shared" ca="1" si="3"/>
        <v>-22462.249086858377</v>
      </c>
      <c r="AN12" s="19">
        <f t="shared" ca="1" si="0"/>
        <v>75212.726566620026</v>
      </c>
      <c r="AO12" s="19">
        <f t="shared" ca="1" si="1"/>
        <v>60363.98824685697</v>
      </c>
      <c r="AP12" s="19">
        <f t="shared" ca="1" si="2"/>
        <v>115498.92943538263</v>
      </c>
    </row>
    <row r="14" spans="2:42" x14ac:dyDescent="0.25">
      <c r="B14" s="9" t="s">
        <v>294</v>
      </c>
      <c r="C14" s="25">
        <f>0</f>
        <v>0</v>
      </c>
      <c r="D14" s="25">
        <f t="shared" ref="D14:AL14" ca="1" si="4">C15</f>
        <v>33550</v>
      </c>
      <c r="E14" s="25">
        <f t="shared" ca="1" si="4"/>
        <v>28240</v>
      </c>
      <c r="F14" s="25">
        <f t="shared" ca="1" si="4"/>
        <v>25210</v>
      </c>
      <c r="G14" s="25">
        <f t="shared" ca="1" si="4"/>
        <v>27019.213333333333</v>
      </c>
      <c r="H14" s="25">
        <f t="shared" ca="1" si="4"/>
        <v>33090.376579047617</v>
      </c>
      <c r="I14" s="25">
        <f t="shared" ca="1" si="4"/>
        <v>41273.474518796189</v>
      </c>
      <c r="J14" s="25">
        <f t="shared" ca="1" si="4"/>
        <v>50788.865770264863</v>
      </c>
      <c r="K14" s="25">
        <f t="shared" ca="1" si="4"/>
        <v>64494.090653626561</v>
      </c>
      <c r="L14" s="25">
        <f t="shared" ca="1" si="4"/>
        <v>74092.56059506422</v>
      </c>
      <c r="M14" s="25">
        <f t="shared" ca="1" si="4"/>
        <v>80256.979729351326</v>
      </c>
      <c r="N14" s="25">
        <f t="shared" ca="1" si="4"/>
        <v>82767.424272468896</v>
      </c>
      <c r="O14" s="25">
        <f t="shared" ca="1" si="4"/>
        <v>75212.726566620026</v>
      </c>
      <c r="P14" s="25">
        <f t="shared" ca="1" si="4"/>
        <v>64540.218323260378</v>
      </c>
      <c r="Q14" s="25">
        <f t="shared" ca="1" si="4"/>
        <v>60500.807321323802</v>
      </c>
      <c r="R14" s="25">
        <f t="shared" ca="1" si="4"/>
        <v>61981.387754069387</v>
      </c>
      <c r="S14" s="25">
        <f t="shared" ca="1" si="4"/>
        <v>67447.918920019671</v>
      </c>
      <c r="T14" s="25">
        <f t="shared" ca="1" si="4"/>
        <v>76205.527953309022</v>
      </c>
      <c r="U14" s="25">
        <f t="shared" ca="1" si="4"/>
        <v>88256.335304332053</v>
      </c>
      <c r="V14" s="25">
        <f t="shared" ca="1" si="4"/>
        <v>102310.4792515469</v>
      </c>
      <c r="W14" s="25">
        <f t="shared" ca="1" si="4"/>
        <v>123188.30130551737</v>
      </c>
      <c r="X14" s="25">
        <f t="shared" ca="1" si="4"/>
        <v>136785.62089138941</v>
      </c>
      <c r="Y14" s="25">
        <f t="shared" ca="1" si="4"/>
        <v>145372.33031390779</v>
      </c>
      <c r="Z14" s="25">
        <f t="shared" ca="1" si="4"/>
        <v>148104.72079771271</v>
      </c>
      <c r="AA14" s="25">
        <f t="shared" ca="1" si="4"/>
        <v>135576.71481347704</v>
      </c>
      <c r="AB14" s="25">
        <f t="shared" ca="1" si="4"/>
        <v>120452.50578447869</v>
      </c>
      <c r="AC14" s="25">
        <f t="shared" ca="1" si="4"/>
        <v>113884.25669271234</v>
      </c>
      <c r="AD14" s="25">
        <f t="shared" ca="1" si="4"/>
        <v>117290.25011368011</v>
      </c>
      <c r="AE14" s="25">
        <f t="shared" ca="1" si="4"/>
        <v>127608.67904394683</v>
      </c>
      <c r="AF14" s="25">
        <f t="shared" ca="1" si="4"/>
        <v>143747.29992610472</v>
      </c>
      <c r="AG14" s="25">
        <f t="shared" ca="1" si="4"/>
        <v>165709.14681787204</v>
      </c>
      <c r="AH14" s="25">
        <f t="shared" ca="1" si="4"/>
        <v>191141.72262950521</v>
      </c>
      <c r="AI14" s="25">
        <f t="shared" ca="1" si="4"/>
        <v>228920.81699297868</v>
      </c>
      <c r="AJ14" s="25">
        <f t="shared" ca="1" si="4"/>
        <v>252978.64357654433</v>
      </c>
      <c r="AK14" s="25">
        <f t="shared" ca="1" si="4"/>
        <v>268509.6843207748</v>
      </c>
      <c r="AL14" s="25">
        <f t="shared" ca="1" si="4"/>
        <v>273537.89333571808</v>
      </c>
    </row>
    <row r="15" spans="2:42" x14ac:dyDescent="0.25">
      <c r="B15" s="18" t="s">
        <v>295</v>
      </c>
      <c r="C15" s="19">
        <f t="shared" ref="C15:AL15" ca="1" si="5">C14+C12</f>
        <v>33550</v>
      </c>
      <c r="D15" s="19">
        <f t="shared" ca="1" si="5"/>
        <v>28240</v>
      </c>
      <c r="E15" s="19">
        <f t="shared" ca="1" si="5"/>
        <v>25210</v>
      </c>
      <c r="F15" s="19">
        <f t="shared" ca="1" si="5"/>
        <v>27019.213333333333</v>
      </c>
      <c r="G15" s="19">
        <f t="shared" ca="1" si="5"/>
        <v>33090.376579047617</v>
      </c>
      <c r="H15" s="19">
        <f t="shared" ca="1" si="5"/>
        <v>41273.474518796189</v>
      </c>
      <c r="I15" s="19">
        <f t="shared" ca="1" si="5"/>
        <v>50788.865770264863</v>
      </c>
      <c r="J15" s="19">
        <f t="shared" ca="1" si="5"/>
        <v>64494.090653626561</v>
      </c>
      <c r="K15" s="19">
        <f t="shared" ca="1" si="5"/>
        <v>74092.56059506422</v>
      </c>
      <c r="L15" s="19">
        <f t="shared" ca="1" si="5"/>
        <v>80256.979729351326</v>
      </c>
      <c r="M15" s="19">
        <f t="shared" ca="1" si="5"/>
        <v>82767.424272468896</v>
      </c>
      <c r="N15" s="19">
        <f t="shared" ca="1" si="5"/>
        <v>75212.726566620026</v>
      </c>
      <c r="O15" s="19">
        <f t="shared" ca="1" si="5"/>
        <v>64540.218323260378</v>
      </c>
      <c r="P15" s="19">
        <f t="shared" ca="1" si="5"/>
        <v>60500.807321323802</v>
      </c>
      <c r="Q15" s="19">
        <f t="shared" ca="1" si="5"/>
        <v>61981.387754069387</v>
      </c>
      <c r="R15" s="19">
        <f t="shared" ca="1" si="5"/>
        <v>67447.918920019671</v>
      </c>
      <c r="S15" s="19">
        <f t="shared" ca="1" si="5"/>
        <v>76205.527953309022</v>
      </c>
      <c r="T15" s="19">
        <f t="shared" ca="1" si="5"/>
        <v>88256.335304332053</v>
      </c>
      <c r="U15" s="19">
        <f t="shared" ca="1" si="5"/>
        <v>102310.4792515469</v>
      </c>
      <c r="V15" s="19">
        <f t="shared" ca="1" si="5"/>
        <v>123188.30130551737</v>
      </c>
      <c r="W15" s="19">
        <f t="shared" ca="1" si="5"/>
        <v>136785.62089138941</v>
      </c>
      <c r="X15" s="19">
        <f t="shared" ca="1" si="5"/>
        <v>145372.33031390779</v>
      </c>
      <c r="Y15" s="19">
        <f t="shared" ca="1" si="5"/>
        <v>148104.72079771271</v>
      </c>
      <c r="Z15" s="19">
        <f t="shared" ca="1" si="5"/>
        <v>135576.71481347704</v>
      </c>
      <c r="AA15" s="19">
        <f t="shared" ca="1" si="5"/>
        <v>120452.50578447869</v>
      </c>
      <c r="AB15" s="19">
        <f t="shared" ca="1" si="5"/>
        <v>113884.25669271234</v>
      </c>
      <c r="AC15" s="19">
        <f t="shared" ca="1" si="5"/>
        <v>117290.25011368011</v>
      </c>
      <c r="AD15" s="19">
        <f t="shared" ca="1" si="5"/>
        <v>127608.67904394683</v>
      </c>
      <c r="AE15" s="19">
        <f t="shared" ca="1" si="5"/>
        <v>143747.29992610472</v>
      </c>
      <c r="AF15" s="19">
        <f t="shared" ca="1" si="5"/>
        <v>165709.14681787204</v>
      </c>
      <c r="AG15" s="19">
        <f t="shared" ca="1" si="5"/>
        <v>191141.72262950521</v>
      </c>
      <c r="AH15" s="19">
        <f t="shared" ca="1" si="5"/>
        <v>228920.81699297868</v>
      </c>
      <c r="AI15" s="19">
        <f t="shared" ca="1" si="5"/>
        <v>252978.64357654433</v>
      </c>
      <c r="AJ15" s="19">
        <f t="shared" ca="1" si="5"/>
        <v>268509.6843207748</v>
      </c>
      <c r="AK15" s="19">
        <f t="shared" ca="1" si="5"/>
        <v>273537.89333571808</v>
      </c>
      <c r="AL15" s="19">
        <f t="shared" ca="1" si="5"/>
        <v>251075.64424885969</v>
      </c>
    </row>
    <row r="16" spans="2:42" x14ac:dyDescent="0.25">
      <c r="B16" s="9" t="s">
        <v>296</v>
      </c>
      <c r="C16" s="24">
        <f>'Гаранционен фонд'!C14</f>
        <v>10000</v>
      </c>
      <c r="D16" s="24">
        <f>'Гаранционен фонд'!D14</f>
        <v>10000</v>
      </c>
      <c r="E16" s="24">
        <f>'Гаранционен фонд'!E14</f>
        <v>10000</v>
      </c>
      <c r="F16" s="24">
        <f>'Гаранционен фонд'!F14</f>
        <v>10363.044685714285</v>
      </c>
      <c r="G16" s="24">
        <f>'Гаранционен фонд'!G14</f>
        <v>10798.698308571427</v>
      </c>
      <c r="H16" s="24">
        <f>'Гаранционен фонд'!H14</f>
        <v>11306.960868571427</v>
      </c>
      <c r="I16" s="24">
        <f>'Гаранционен фонд'!I14</f>
        <v>11851.527897142856</v>
      </c>
      <c r="J16" s="24">
        <f>'Гаранционен фонд'!J14</f>
        <v>12577.617268571428</v>
      </c>
      <c r="K16" s="24">
        <f>'Гаранционен фонд'!K14</f>
        <v>13049.575359999999</v>
      </c>
      <c r="L16" s="24">
        <f>'Гаранционен фонд'!L14</f>
        <v>13448.924514285714</v>
      </c>
      <c r="M16" s="24">
        <f>'Гаранционен фонд'!M14</f>
        <v>13703.055794285714</v>
      </c>
      <c r="N16" s="24">
        <f>'Гаранционен фонд'!N14</f>
        <v>13811.9692</v>
      </c>
      <c r="O16" s="24">
        <f>'Гаранционен фонд'!O14</f>
        <v>14005.928507500001</v>
      </c>
      <c r="P16" s="24">
        <f>'Гаранционен фонд'!P14</f>
        <v>14264.5409175</v>
      </c>
      <c r="Q16" s="24">
        <f>'Гаранционен фонд'!Q14</f>
        <v>14781.7657375</v>
      </c>
      <c r="R16" s="24">
        <f>'Гаранционен фонд'!R14</f>
        <v>15428.296762499998</v>
      </c>
      <c r="S16" s="24">
        <f>'Гаранционен фонд'!S14</f>
        <v>16204.133992499997</v>
      </c>
      <c r="T16" s="24">
        <f>'Гаранционен фонд'!T14</f>
        <v>17109.277427499997</v>
      </c>
      <c r="U16" s="24">
        <f>'Гаранционен фонд'!U14</f>
        <v>18079.073965</v>
      </c>
      <c r="V16" s="24">
        <f>'Гаранционен фонд'!V14</f>
        <v>19372.136015</v>
      </c>
      <c r="W16" s="24">
        <f>'Гаранционен фонд'!W14</f>
        <v>20212.626347499998</v>
      </c>
      <c r="X16" s="24">
        <f>'Гаранционен фонд'!X14</f>
        <v>20923.810474999998</v>
      </c>
      <c r="Y16" s="24">
        <f>'Гаранционен фонд'!Y14</f>
        <v>21376.382192499997</v>
      </c>
      <c r="Z16" s="24">
        <f>'Гаранционен фонд'!Z14</f>
        <v>21570.341499999999</v>
      </c>
      <c r="AA16" s="24">
        <f>'Гаранционен фонд'!AA14</f>
        <v>21934.639187500001</v>
      </c>
      <c r="AB16" s="24">
        <f>'Гаранционен фонд'!AB14</f>
        <v>22420.369437500001</v>
      </c>
      <c r="AC16" s="24">
        <f>'Гаранционен фонд'!AC14</f>
        <v>23391.829937500002</v>
      </c>
      <c r="AD16" s="24">
        <f>'Гаранционен фонд'!AD14</f>
        <v>24606.155562500004</v>
      </c>
      <c r="AE16" s="24">
        <f>'Гаранционен фонд'!AE14</f>
        <v>26063.346312500005</v>
      </c>
      <c r="AF16" s="24">
        <f>'Гаранционен фонд'!AF14</f>
        <v>27763.402187500007</v>
      </c>
      <c r="AG16" s="24">
        <f>'Гаранционен фонд'!AG14</f>
        <v>29584.890625000011</v>
      </c>
      <c r="AH16" s="24">
        <f>'Гаранционен фонд'!AH14</f>
        <v>32013.54187500001</v>
      </c>
      <c r="AI16" s="24">
        <f>'Гаранционен фонд'!AI14</f>
        <v>33592.16518750001</v>
      </c>
      <c r="AJ16" s="24">
        <f>'Гаранционен фонд'!AJ14</f>
        <v>34927.923375000006</v>
      </c>
      <c r="AK16" s="24">
        <f>'Гаранционен фонд'!AK14</f>
        <v>35777.951312500001</v>
      </c>
      <c r="AL16" s="24">
        <f>'Гаранционен фонд'!AL14</f>
        <v>36142.248999999996</v>
      </c>
    </row>
    <row r="17" spans="2:38" x14ac:dyDescent="0.25">
      <c r="B17" s="18" t="s">
        <v>297</v>
      </c>
      <c r="C17" s="19">
        <f t="shared" ref="C17:AL17" ca="1" si="6">C15+C16</f>
        <v>43550</v>
      </c>
      <c r="D17" s="19">
        <f t="shared" ca="1" si="6"/>
        <v>38240</v>
      </c>
      <c r="E17" s="19">
        <f t="shared" ca="1" si="6"/>
        <v>35210</v>
      </c>
      <c r="F17" s="19">
        <f t="shared" ca="1" si="6"/>
        <v>37382.258019047615</v>
      </c>
      <c r="G17" s="19">
        <f t="shared" ca="1" si="6"/>
        <v>43889.074887619048</v>
      </c>
      <c r="H17" s="19">
        <f t="shared" ca="1" si="6"/>
        <v>52580.435387367615</v>
      </c>
      <c r="I17" s="19">
        <f t="shared" ca="1" si="6"/>
        <v>62640.393667407719</v>
      </c>
      <c r="J17" s="19">
        <f t="shared" ca="1" si="6"/>
        <v>77071.707922197995</v>
      </c>
      <c r="K17" s="19">
        <f t="shared" ca="1" si="6"/>
        <v>87142.135955064223</v>
      </c>
      <c r="L17" s="19">
        <f t="shared" ca="1" si="6"/>
        <v>93705.904243637036</v>
      </c>
      <c r="M17" s="19">
        <f t="shared" ca="1" si="6"/>
        <v>96470.480066754608</v>
      </c>
      <c r="N17" s="19">
        <f t="shared" ca="1" si="6"/>
        <v>89024.695766620018</v>
      </c>
      <c r="O17" s="19">
        <f t="shared" ca="1" si="6"/>
        <v>78546.146830760379</v>
      </c>
      <c r="P17" s="19">
        <f t="shared" ca="1" si="6"/>
        <v>74765.348238823804</v>
      </c>
      <c r="Q17" s="19">
        <f t="shared" ca="1" si="6"/>
        <v>76763.153491569392</v>
      </c>
      <c r="R17" s="19">
        <f t="shared" ca="1" si="6"/>
        <v>82876.215682519673</v>
      </c>
      <c r="S17" s="19">
        <f t="shared" ca="1" si="6"/>
        <v>92409.661945809014</v>
      </c>
      <c r="T17" s="19">
        <f t="shared" ca="1" si="6"/>
        <v>105365.61273183205</v>
      </c>
      <c r="U17" s="19">
        <f t="shared" ca="1" si="6"/>
        <v>120389.5532165469</v>
      </c>
      <c r="V17" s="19">
        <f t="shared" ca="1" si="6"/>
        <v>142560.43732051738</v>
      </c>
      <c r="W17" s="19">
        <f t="shared" ca="1" si="6"/>
        <v>156998.24723888939</v>
      </c>
      <c r="X17" s="19">
        <f t="shared" ca="1" si="6"/>
        <v>166296.1407889078</v>
      </c>
      <c r="Y17" s="19">
        <f t="shared" ca="1" si="6"/>
        <v>169481.1029902127</v>
      </c>
      <c r="Z17" s="19">
        <f t="shared" ca="1" si="6"/>
        <v>157147.05631347705</v>
      </c>
      <c r="AA17" s="19">
        <f t="shared" ca="1" si="6"/>
        <v>142387.14497197871</v>
      </c>
      <c r="AB17" s="19">
        <f t="shared" ca="1" si="6"/>
        <v>136304.62613021233</v>
      </c>
      <c r="AC17" s="19">
        <f t="shared" ca="1" si="6"/>
        <v>140682.08005118012</v>
      </c>
      <c r="AD17" s="19">
        <f t="shared" ca="1" si="6"/>
        <v>152214.83460644685</v>
      </c>
      <c r="AE17" s="19">
        <f t="shared" ca="1" si="6"/>
        <v>169810.64623860474</v>
      </c>
      <c r="AF17" s="19">
        <f t="shared" ca="1" si="6"/>
        <v>193472.54900537204</v>
      </c>
      <c r="AG17" s="19">
        <f t="shared" ca="1" si="6"/>
        <v>220726.61325450521</v>
      </c>
      <c r="AH17" s="19">
        <f t="shared" ca="1" si="6"/>
        <v>260934.35886797868</v>
      </c>
      <c r="AI17" s="19">
        <f t="shared" ca="1" si="6"/>
        <v>286570.80876404431</v>
      </c>
      <c r="AJ17" s="19">
        <f t="shared" ca="1" si="6"/>
        <v>303437.60769577482</v>
      </c>
      <c r="AK17" s="19">
        <f t="shared" ca="1" si="6"/>
        <v>309315.84464821807</v>
      </c>
      <c r="AL17" s="19">
        <f t="shared" ca="1" si="6"/>
        <v>287217.89324885968</v>
      </c>
    </row>
    <row r="19" spans="2:38" x14ac:dyDescent="0.25">
      <c r="B19" s="4" t="s">
        <v>298</v>
      </c>
    </row>
    <row r="20" spans="2:38" x14ac:dyDescent="0.25">
      <c r="B20" s="6" t="s">
        <v>299</v>
      </c>
      <c r="C20" s="38">
        <f ca="1">MIN(C15:AL15)</f>
        <v>25210</v>
      </c>
    </row>
    <row r="21" spans="2:38" x14ac:dyDescent="0.25">
      <c r="B21" s="9" t="s">
        <v>300</v>
      </c>
      <c r="C21" s="25">
        <f ca="1">MATCH(MIN(C15:AL15),C15:AL15,0)</f>
        <v>3</v>
      </c>
    </row>
    <row r="22" spans="2:38" x14ac:dyDescent="0.25">
      <c r="B22" s="6" t="s">
        <v>301</v>
      </c>
      <c r="C22" s="6" t="str">
        <f ca="1">IF(C20&gt;=0,"ДА","НЕ — увеличи капитала")</f>
        <v>ДА</v>
      </c>
    </row>
    <row r="23" spans="2:38" x14ac:dyDescent="0.25">
      <c r="B23" s="6" t="s">
        <v>302</v>
      </c>
      <c r="C23" s="43">
        <f ca="1">ROUND(MAX(Допускания!$C$93,Допускания!$C$93-MIN(C15:AL15)*1.2)/1000,0)*1000</f>
        <v>50000</v>
      </c>
    </row>
    <row r="24" spans="2:38" x14ac:dyDescent="0.25">
      <c r="B24" s="9" t="s">
        <v>303</v>
      </c>
      <c r="C24" s="25">
        <f>IFERROR(MATCH(TRUE(),INDEX(ОПР!C30:AL30&gt;0,0),0),0)</f>
        <v>4</v>
      </c>
    </row>
    <row r="25" spans="2:38" x14ac:dyDescent="0.25">
      <c r="B25" s="9" t="s">
        <v>304</v>
      </c>
      <c r="C25" s="25">
        <f>SUM(ОПР!C30:AL30)</f>
        <v>259634.03797710573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34"/>
  <sheetViews>
    <sheetView zoomScaleNormal="100" workbookViewId="0">
      <selection activeCell="C29" sqref="C29"/>
    </sheetView>
  </sheetViews>
  <sheetFormatPr defaultColWidth="8.7109375" defaultRowHeight="15" x14ac:dyDescent="0.25"/>
  <cols>
    <col min="1" max="1" width="2" customWidth="1"/>
    <col min="2" max="2" width="44" customWidth="1"/>
    <col min="3" max="6" width="16" customWidth="1"/>
    <col min="7" max="7" width="40" customWidth="1"/>
  </cols>
  <sheetData>
    <row r="1" spans="2:7" ht="18" x14ac:dyDescent="0.25">
      <c r="B1" s="2" t="s">
        <v>305</v>
      </c>
    </row>
    <row r="2" spans="2:7" x14ac:dyDescent="0.25">
      <c r="B2" s="3" t="s">
        <v>306</v>
      </c>
    </row>
    <row r="4" spans="2:7" x14ac:dyDescent="0.25">
      <c r="B4" s="11" t="s">
        <v>66</v>
      </c>
      <c r="C4" s="11" t="s">
        <v>67</v>
      </c>
      <c r="D4" s="11" t="s">
        <v>68</v>
      </c>
      <c r="E4" s="11" t="s">
        <v>69</v>
      </c>
      <c r="F4" s="11" t="s">
        <v>307</v>
      </c>
      <c r="G4" s="11" t="s">
        <v>70</v>
      </c>
    </row>
    <row r="5" spans="2:7" x14ac:dyDescent="0.25">
      <c r="B5" s="6" t="s">
        <v>267</v>
      </c>
      <c r="C5" s="30">
        <f>Обеми!AN11</f>
        <v>26.000000000000004</v>
      </c>
      <c r="D5" s="30">
        <f>Обеми!AO11</f>
        <v>35</v>
      </c>
      <c r="E5" s="30">
        <f>Обеми!AP11</f>
        <v>50</v>
      </c>
      <c r="F5" s="30">
        <f>SUM(C5:E5)</f>
        <v>111</v>
      </c>
    </row>
    <row r="6" spans="2:7" x14ac:dyDescent="0.25">
      <c r="B6" s="9" t="s">
        <v>238</v>
      </c>
      <c r="C6" s="24">
        <f>Обеми!AN12</f>
        <v>1470.3000000000002</v>
      </c>
      <c r="D6" s="24">
        <f>Обеми!AO12</f>
        <v>1979.25</v>
      </c>
      <c r="E6" s="24">
        <f>Обеми!AP12</f>
        <v>2827.5</v>
      </c>
      <c r="F6" s="25">
        <f>SUM(C6:E6)</f>
        <v>6277.05</v>
      </c>
      <c r="G6" s="3" t="s">
        <v>308</v>
      </c>
    </row>
    <row r="8" spans="2:7" x14ac:dyDescent="0.25">
      <c r="B8" s="4" t="s">
        <v>242</v>
      </c>
    </row>
    <row r="9" spans="2:7" x14ac:dyDescent="0.25">
      <c r="B9" s="9" t="s">
        <v>243</v>
      </c>
      <c r="C9" s="24">
        <f>ОПР!AN6</f>
        <v>228020</v>
      </c>
      <c r="D9" s="24">
        <f>ОПР!AO6</f>
        <v>337645</v>
      </c>
      <c r="E9" s="24">
        <f>ОПР!AP6</f>
        <v>530585</v>
      </c>
      <c r="F9" s="25">
        <f>SUM(C9:E9)</f>
        <v>1096250</v>
      </c>
    </row>
    <row r="10" spans="2:7" x14ac:dyDescent="0.25">
      <c r="B10" s="9" t="s">
        <v>244</v>
      </c>
      <c r="C10" s="24">
        <f>ОПР!AN7</f>
        <v>54405.000000000007</v>
      </c>
      <c r="D10" s="24">
        <f>ОПР!AO7</f>
        <v>80561.25</v>
      </c>
      <c r="E10" s="24">
        <f>ОПР!AP7</f>
        <v>126596.25000000001</v>
      </c>
      <c r="F10" s="25">
        <f>SUM(C10:E10)</f>
        <v>261562.5</v>
      </c>
    </row>
    <row r="11" spans="2:7" x14ac:dyDescent="0.25">
      <c r="B11" s="9" t="s">
        <v>246</v>
      </c>
      <c r="C11" s="24">
        <f>ОПР!AN9</f>
        <v>767.97628443609688</v>
      </c>
      <c r="D11" s="24">
        <f>ОПР!AO9</f>
        <v>2723.4071194312392</v>
      </c>
      <c r="E11" s="24">
        <f>ОПР!AP9</f>
        <v>5177.6847208908475</v>
      </c>
      <c r="F11" s="25">
        <f>SUM(C11:E11)</f>
        <v>8669.0681247581833</v>
      </c>
      <c r="G11" s="3" t="s">
        <v>309</v>
      </c>
    </row>
    <row r="12" spans="2:7" x14ac:dyDescent="0.25">
      <c r="B12" s="18" t="s">
        <v>247</v>
      </c>
      <c r="C12" s="19">
        <f>ОПР!AN10</f>
        <v>283206.93948960764</v>
      </c>
      <c r="D12" s="19">
        <f>ОПР!AO10</f>
        <v>420979.17361251177</v>
      </c>
      <c r="E12" s="19">
        <f>ОПР!AP10</f>
        <v>662453.07444308884</v>
      </c>
      <c r="F12" s="19">
        <f>SUM(C12:E12)</f>
        <v>1366639.1875452083</v>
      </c>
    </row>
    <row r="14" spans="2:7" x14ac:dyDescent="0.25">
      <c r="B14" s="4" t="s">
        <v>310</v>
      </c>
    </row>
    <row r="15" spans="2:7" x14ac:dyDescent="0.25">
      <c r="B15" s="6" t="s">
        <v>311</v>
      </c>
      <c r="C15" s="27">
        <f>ОПР!AN21</f>
        <v>110738.10179651948</v>
      </c>
      <c r="D15" s="27">
        <f>ОПР!AO21</f>
        <v>198624.67673706161</v>
      </c>
      <c r="E15" s="27">
        <f>ОПР!AP21</f>
        <v>351794.25944352464</v>
      </c>
      <c r="F15" s="27">
        <f>SUM(C15:E15)</f>
        <v>661157.03797710571</v>
      </c>
    </row>
    <row r="16" spans="2:7" x14ac:dyDescent="0.25">
      <c r="B16" s="6" t="s">
        <v>254</v>
      </c>
      <c r="C16" s="29">
        <f>IF(C12=0,0,C15/C12)</f>
        <v>0.39101478938365858</v>
      </c>
      <c r="D16" s="29">
        <f>IF(D12=0,0,D15/D12)</f>
        <v>0.47181592151607177</v>
      </c>
      <c r="E16" s="29">
        <f>IF(E12=0,0,E15/E12)</f>
        <v>0.53104781759714992</v>
      </c>
    </row>
    <row r="17" spans="2:7" x14ac:dyDescent="0.25">
      <c r="B17" s="9" t="s">
        <v>312</v>
      </c>
      <c r="C17" s="24">
        <f>ОПР!AN28</f>
        <v>63135</v>
      </c>
      <c r="D17" s="24">
        <f>ОПР!AO28</f>
        <v>124200</v>
      </c>
      <c r="E17" s="24">
        <f>ОПР!AP28</f>
        <v>214188</v>
      </c>
      <c r="F17" s="25">
        <f>SUM(C17:E17)</f>
        <v>401523</v>
      </c>
    </row>
    <row r="18" spans="2:7" x14ac:dyDescent="0.25">
      <c r="B18" s="18" t="s">
        <v>259</v>
      </c>
      <c r="C18" s="19">
        <f>ОПР!AN30</f>
        <v>47603.101796519491</v>
      </c>
      <c r="D18" s="19">
        <f>ОПР!AO30</f>
        <v>74424.676737061585</v>
      </c>
      <c r="E18" s="19">
        <f>ОПР!AP30</f>
        <v>137606.25944352461</v>
      </c>
      <c r="F18" s="19">
        <f>SUM(C18:E18)</f>
        <v>259634.03797710571</v>
      </c>
    </row>
    <row r="19" spans="2:7" x14ac:dyDescent="0.25">
      <c r="B19" s="18" t="s">
        <v>260</v>
      </c>
      <c r="C19" s="28">
        <f>IF(C12=0,0,C18/C12)</f>
        <v>0.16808592996453148</v>
      </c>
      <c r="D19" s="28">
        <f>IF(D12=0,0,D18/D12)</f>
        <v>0.17678945041011795</v>
      </c>
      <c r="E19" s="28">
        <f>IF(E12=0,0,E18/E12)</f>
        <v>0.207722274606707</v>
      </c>
    </row>
    <row r="20" spans="2:7" x14ac:dyDescent="0.25">
      <c r="B20" s="9" t="s">
        <v>261</v>
      </c>
      <c r="C20" s="24">
        <f>ОПР!AN32</f>
        <v>1140</v>
      </c>
      <c r="D20" s="24">
        <f>ОПР!AO32</f>
        <v>2160</v>
      </c>
      <c r="E20" s="24">
        <f>ОПР!AP32</f>
        <v>3280.0000000000005</v>
      </c>
      <c r="F20" s="25">
        <f>SUM(C20:E20)</f>
        <v>6580</v>
      </c>
    </row>
    <row r="21" spans="2:7" x14ac:dyDescent="0.25">
      <c r="B21" s="6" t="s">
        <v>313</v>
      </c>
      <c r="C21" s="27">
        <f>ОПР!AN33</f>
        <v>46463.101796519491</v>
      </c>
      <c r="D21" s="27">
        <f>ОПР!AO33</f>
        <v>72264.676737061585</v>
      </c>
      <c r="E21" s="27">
        <f>ОПР!AP33</f>
        <v>134326.25944352461</v>
      </c>
      <c r="F21" s="27">
        <f>SUM(C21:E21)</f>
        <v>253054.03797710571</v>
      </c>
    </row>
    <row r="22" spans="2:7" x14ac:dyDescent="0.25">
      <c r="B22" s="9" t="s">
        <v>314</v>
      </c>
      <c r="C22" s="24">
        <f>ОПР!AN34</f>
        <v>5869.3998354786363</v>
      </c>
      <c r="D22" s="24">
        <f>ОПР!AO34</f>
        <v>8704.5796008368179</v>
      </c>
      <c r="E22" s="24">
        <f>ОПР!AP34</f>
        <v>15885.91817301544</v>
      </c>
      <c r="F22" s="25">
        <f>SUM(C22:E22)</f>
        <v>30459.897609330896</v>
      </c>
    </row>
    <row r="23" spans="2:7" x14ac:dyDescent="0.25">
      <c r="B23" s="18" t="s">
        <v>264</v>
      </c>
      <c r="C23" s="19">
        <f>ОПР!AN35</f>
        <v>40593.701961040861</v>
      </c>
      <c r="D23" s="19">
        <f>ОПР!AO35</f>
        <v>63560.097136224751</v>
      </c>
      <c r="E23" s="19">
        <f>ОПР!AP35</f>
        <v>118440.34127050918</v>
      </c>
      <c r="F23" s="19">
        <f>SUM(C23:E23)</f>
        <v>222594.14036777479</v>
      </c>
    </row>
    <row r="25" spans="2:7" x14ac:dyDescent="0.25">
      <c r="B25" s="4" t="s">
        <v>315</v>
      </c>
    </row>
    <row r="26" spans="2:7" x14ac:dyDescent="0.25">
      <c r="B26" s="6" t="s">
        <v>316</v>
      </c>
      <c r="C26" s="27">
        <f>IF(Обеми!AN11=0,0,C12/Обеми!AN11)</f>
        <v>10892.574595754138</v>
      </c>
      <c r="D26" s="27">
        <f>IF(Обеми!AO11=0,0,D12/Обеми!AO11)</f>
        <v>12027.976388928908</v>
      </c>
      <c r="E26" s="27">
        <f>IF(Обеми!AP11=0,0,E12/Обеми!AP11)</f>
        <v>13249.061488861777</v>
      </c>
    </row>
    <row r="27" spans="2:7" x14ac:dyDescent="0.25">
      <c r="B27" s="6" t="s">
        <v>317</v>
      </c>
      <c r="C27" s="27">
        <f>IF(Обеми!AN11=0,0,C15/Обеми!AN11)</f>
        <v>4259.1577614045946</v>
      </c>
      <c r="D27" s="27">
        <f>IF(Обеми!AO11=0,0,D15/Обеми!AO11)</f>
        <v>5674.9907639160465</v>
      </c>
      <c r="E27" s="27">
        <f>IF(Обеми!AP11=0,0,E15/Обеми!AP11)</f>
        <v>7035.885188870493</v>
      </c>
    </row>
    <row r="28" spans="2:7" x14ac:dyDescent="0.25">
      <c r="B28" s="6" t="s">
        <v>318</v>
      </c>
      <c r="C28" s="27">
        <f>IF(Обеми!AN11=0,0,ОПР!AN28/Обеми!AN11)</f>
        <v>2428.2692307692305</v>
      </c>
      <c r="D28" s="27">
        <f>IF(Обеми!AO11=0,0,ОПР!AO28/Обеми!AO11)</f>
        <v>3548.5714285714284</v>
      </c>
      <c r="E28" s="27">
        <f>IF(Обеми!AP11=0,0,ОПР!AP28/Обеми!AP11)</f>
        <v>4283.76</v>
      </c>
    </row>
    <row r="29" spans="2:7" x14ac:dyDescent="0.25">
      <c r="B29" s="44" t="s">
        <v>319</v>
      </c>
      <c r="C29" s="45">
        <f>IF(Обеми!AN11=0,0,ОПР!AN28/(C15/Обеми!AN11))</f>
        <v>14.823353239486297</v>
      </c>
      <c r="D29" s="45">
        <f>IF(Обеми!AO11=0,0,ОПР!AO28/(D15/Обеми!AO11))</f>
        <v>21.885498173797092</v>
      </c>
      <c r="E29" s="45">
        <f>IF(Обеми!AP11=0,0,ОПР!AP28/(E15/Обеми!AP11))</f>
        <v>30.442225000886449</v>
      </c>
      <c r="G29" s="3" t="s">
        <v>320</v>
      </c>
    </row>
    <row r="31" spans="2:7" x14ac:dyDescent="0.25">
      <c r="B31" s="4" t="s">
        <v>321</v>
      </c>
    </row>
    <row r="32" spans="2:7" x14ac:dyDescent="0.25">
      <c r="B32" s="6" t="s">
        <v>322</v>
      </c>
      <c r="C32" s="27">
        <f ca="1">'Паричен поток'!AN12</f>
        <v>75212.726566620026</v>
      </c>
      <c r="D32" s="27">
        <f ca="1">'Паричен поток'!AO12</f>
        <v>60363.98824685697</v>
      </c>
      <c r="E32" s="27">
        <f ca="1">'Паричен поток'!AP12</f>
        <v>115498.92943538263</v>
      </c>
      <c r="F32" s="27">
        <f ca="1">SUM(C32:E32)</f>
        <v>251075.64424885964</v>
      </c>
    </row>
    <row r="33" spans="2:5" x14ac:dyDescent="0.25">
      <c r="B33" s="6" t="s">
        <v>323</v>
      </c>
      <c r="C33" s="27">
        <f ca="1">'Паричен поток'!N15</f>
        <v>75212.726566620026</v>
      </c>
      <c r="D33" s="27">
        <f ca="1">'Паричен поток'!Z15</f>
        <v>135576.71481347704</v>
      </c>
      <c r="E33" s="27">
        <f ca="1">'Паричен поток'!AL15</f>
        <v>251075.64424885969</v>
      </c>
    </row>
    <row r="34" spans="2:5" x14ac:dyDescent="0.25">
      <c r="B34" s="18" t="s">
        <v>324</v>
      </c>
      <c r="C34" s="19">
        <f ca="1">'Паричен поток'!N17</f>
        <v>89024.695766620018</v>
      </c>
      <c r="D34" s="19">
        <f ca="1">'Паричен поток'!Z17</f>
        <v>157147.05631347705</v>
      </c>
      <c r="E34" s="19">
        <f ca="1">'Паричен поток'!AL17</f>
        <v>287217.89324885968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G40"/>
  <sheetViews>
    <sheetView tabSelected="1" topLeftCell="A18" zoomScaleNormal="100" workbookViewId="0">
      <selection activeCell="B40" sqref="B40"/>
    </sheetView>
  </sheetViews>
  <sheetFormatPr defaultColWidth="8.7109375" defaultRowHeight="15" x14ac:dyDescent="0.25"/>
  <cols>
    <col min="1" max="1" width="2" customWidth="1"/>
    <col min="2" max="2" width="44" customWidth="1"/>
    <col min="3" max="6" width="14" customWidth="1"/>
    <col min="7" max="7" width="44" customWidth="1"/>
  </cols>
  <sheetData>
    <row r="1" spans="2:7" ht="18" x14ac:dyDescent="0.25">
      <c r="B1" s="2" t="s">
        <v>325</v>
      </c>
    </row>
    <row r="2" spans="2:7" x14ac:dyDescent="0.25">
      <c r="B2" s="3" t="s">
        <v>326</v>
      </c>
    </row>
    <row r="4" spans="2:7" x14ac:dyDescent="0.25">
      <c r="B4" s="11" t="s">
        <v>327</v>
      </c>
      <c r="C4" s="11"/>
      <c r="D4" s="11" t="s">
        <v>328</v>
      </c>
      <c r="E4" s="11" t="s">
        <v>329</v>
      </c>
      <c r="F4" s="11" t="s">
        <v>330</v>
      </c>
      <c r="G4" s="11" t="s">
        <v>331</v>
      </c>
    </row>
    <row r="5" spans="2:7" x14ac:dyDescent="0.25">
      <c r="B5" s="6" t="s">
        <v>50</v>
      </c>
      <c r="D5" s="13">
        <v>0.65</v>
      </c>
      <c r="E5" s="13">
        <v>1</v>
      </c>
      <c r="F5" s="13">
        <v>1.35</v>
      </c>
      <c r="G5" s="3" t="s">
        <v>332</v>
      </c>
    </row>
    <row r="6" spans="2:7" x14ac:dyDescent="0.25">
      <c r="B6" s="6" t="s">
        <v>51</v>
      </c>
      <c r="D6" s="13">
        <v>0.94</v>
      </c>
      <c r="E6" s="13">
        <v>1</v>
      </c>
      <c r="F6" s="13">
        <v>1.05</v>
      </c>
      <c r="G6" s="3" t="s">
        <v>333</v>
      </c>
    </row>
    <row r="7" spans="2:7" x14ac:dyDescent="0.25">
      <c r="B7" s="6" t="s">
        <v>52</v>
      </c>
      <c r="D7" s="13">
        <v>1.1000000000000001</v>
      </c>
      <c r="E7" s="13">
        <v>1</v>
      </c>
      <c r="F7" s="13">
        <v>0.93</v>
      </c>
      <c r="G7" s="3" t="s">
        <v>334</v>
      </c>
    </row>
    <row r="9" spans="2:7" x14ac:dyDescent="0.25">
      <c r="B9" s="6" t="s">
        <v>335</v>
      </c>
      <c r="C9" s="24">
        <f>Допускания!$C$5</f>
        <v>2</v>
      </c>
      <c r="D9" s="9" t="str">
        <f>INDEX({"Консервативен";"Базов";"Агресивен"},Допускания!$C$5)</f>
        <v>Базов</v>
      </c>
    </row>
    <row r="11" spans="2:7" x14ac:dyDescent="0.25">
      <c r="B11" s="4" t="s">
        <v>336</v>
      </c>
    </row>
    <row r="12" spans="2:7" x14ac:dyDescent="0.25">
      <c r="B12" s="23" t="s">
        <v>66</v>
      </c>
      <c r="C12" s="23" t="s">
        <v>67</v>
      </c>
      <c r="D12" s="23" t="s">
        <v>68</v>
      </c>
      <c r="E12" s="23" t="s">
        <v>69</v>
      </c>
    </row>
    <row r="13" spans="2:7" x14ac:dyDescent="0.25">
      <c r="B13" s="6" t="s">
        <v>337</v>
      </c>
      <c r="C13" s="24">
        <f>ОПР!AN10</f>
        <v>283206.93948960764</v>
      </c>
      <c r="D13" s="24">
        <f>ОПР!AO10</f>
        <v>420979.17361251177</v>
      </c>
      <c r="E13" s="24">
        <f>ОПР!AP10</f>
        <v>662453.07444308884</v>
      </c>
    </row>
    <row r="14" spans="2:7" x14ac:dyDescent="0.25">
      <c r="B14" s="6" t="s">
        <v>259</v>
      </c>
      <c r="C14" s="24">
        <f>ОПР!AN30</f>
        <v>47603.101796519491</v>
      </c>
      <c r="D14" s="24">
        <f>ОПР!AO30</f>
        <v>74424.676737061585</v>
      </c>
      <c r="E14" s="24">
        <f>ОПР!AP30</f>
        <v>137606.25944352461</v>
      </c>
    </row>
    <row r="15" spans="2:7" x14ac:dyDescent="0.25">
      <c r="B15" s="6" t="s">
        <v>338</v>
      </c>
      <c r="C15" s="24">
        <f>ОПР!AN35</f>
        <v>40593.701961040861</v>
      </c>
      <c r="D15" s="24">
        <f>ОПР!AO35</f>
        <v>63560.097136224751</v>
      </c>
      <c r="E15" s="24">
        <f>ОПР!AP35</f>
        <v>118440.34127050918</v>
      </c>
    </row>
    <row r="16" spans="2:7" x14ac:dyDescent="0.25">
      <c r="B16" s="6" t="s">
        <v>339</v>
      </c>
      <c r="C16" s="10">
        <f>Обеми!AN11</f>
        <v>26.000000000000004</v>
      </c>
      <c r="D16" s="10">
        <f>Обеми!AO11</f>
        <v>35</v>
      </c>
      <c r="E16" s="10">
        <f>Обеми!AP11</f>
        <v>50</v>
      </c>
    </row>
    <row r="17" spans="2:7" x14ac:dyDescent="0.25">
      <c r="B17" s="6" t="s">
        <v>340</v>
      </c>
      <c r="C17" s="46">
        <f ca="1">MIN('Паричен поток'!C15:AL15)</f>
        <v>25210</v>
      </c>
    </row>
    <row r="19" spans="2:7" x14ac:dyDescent="0.25">
      <c r="B19" s="47" t="s">
        <v>341</v>
      </c>
      <c r="C19" s="48"/>
      <c r="D19" s="48"/>
      <c r="E19" s="48"/>
      <c r="F19" s="48"/>
      <c r="G19" s="48"/>
    </row>
    <row r="20" spans="2:7" ht="30" customHeight="1" x14ac:dyDescent="0.25">
      <c r="B20" s="1" t="s">
        <v>342</v>
      </c>
      <c r="C20" s="1"/>
      <c r="D20" s="1"/>
      <c r="E20" s="1"/>
      <c r="F20" s="1"/>
      <c r="G20" s="1"/>
    </row>
    <row r="21" spans="2:7" ht="30" customHeight="1" x14ac:dyDescent="0.25">
      <c r="B21" s="1" t="s">
        <v>343</v>
      </c>
      <c r="C21" s="1"/>
      <c r="D21" s="1"/>
      <c r="E21" s="1"/>
      <c r="F21" s="1"/>
      <c r="G21" s="1"/>
    </row>
    <row r="22" spans="2:7" ht="30" customHeight="1" x14ac:dyDescent="0.25">
      <c r="B22" s="1" t="s">
        <v>344</v>
      </c>
      <c r="C22" s="1"/>
      <c r="D22" s="1"/>
      <c r="E22" s="1"/>
      <c r="F22" s="1"/>
      <c r="G22" s="1"/>
    </row>
    <row r="24" spans="2:7" x14ac:dyDescent="0.25">
      <c r="B24" s="4" t="s">
        <v>345</v>
      </c>
    </row>
    <row r="25" spans="2:7" x14ac:dyDescent="0.25">
      <c r="B25" s="3" t="s">
        <v>346</v>
      </c>
    </row>
    <row r="26" spans="2:7" x14ac:dyDescent="0.25">
      <c r="B26" s="3" t="s">
        <v>347</v>
      </c>
    </row>
    <row r="28" spans="2:7" x14ac:dyDescent="0.25">
      <c r="B28" s="9" t="s">
        <v>348</v>
      </c>
      <c r="C28" s="24">
        <f>Пакети!$E$40</f>
        <v>13143.625</v>
      </c>
    </row>
    <row r="29" spans="2:7" x14ac:dyDescent="0.25">
      <c r="B29" s="9" t="s">
        <v>349</v>
      </c>
      <c r="C29" s="24">
        <f>Пакети!$E$29+Пакети!$E$36</f>
        <v>5330.3499999999995</v>
      </c>
    </row>
    <row r="30" spans="2:7" x14ac:dyDescent="0.25">
      <c r="B30" s="9" t="s">
        <v>350</v>
      </c>
      <c r="C30" s="24">
        <f>ОПР!AP28</f>
        <v>214188</v>
      </c>
    </row>
    <row r="31" spans="2:7" x14ac:dyDescent="0.25">
      <c r="B31" s="9" t="s">
        <v>351</v>
      </c>
      <c r="C31" s="24">
        <f>Пакети!$E$28</f>
        <v>10611.7</v>
      </c>
    </row>
    <row r="33" spans="2:7" x14ac:dyDescent="0.25">
      <c r="B33" s="49" t="s">
        <v>352</v>
      </c>
      <c r="C33" s="50">
        <v>0.05</v>
      </c>
      <c r="D33" s="50">
        <v>0.1</v>
      </c>
      <c r="E33" s="50">
        <v>0.15</v>
      </c>
      <c r="F33" s="50">
        <v>0.2</v>
      </c>
      <c r="G33" s="50">
        <v>0.25</v>
      </c>
    </row>
    <row r="34" spans="2:7" x14ac:dyDescent="0.25">
      <c r="B34" s="51">
        <v>60</v>
      </c>
      <c r="C34" s="25">
        <f>$B34*($C$28-$C$29)-$C$30-$B34*(C$33*$C$29*Допускания!$C$54+C$33*Допускания!$C$52*Допускания!$C$53*$C$31)</f>
        <v>235295.34450000006</v>
      </c>
      <c r="D34" s="25">
        <f>$B34*($C$28-$C$29)-$C$30-$B34*(D$33*$C$29*Допускания!$C$54+D$33*Допускания!$C$52*Допускания!$C$53*$C$31)</f>
        <v>215982.18900000007</v>
      </c>
      <c r="E34" s="25">
        <f>$B34*($C$28-$C$29)-$C$30-$B34*(E$33*$C$29*Допускания!$C$54+E$33*Допускания!$C$52*Допускания!$C$53*$C$31)</f>
        <v>196669.03350000008</v>
      </c>
      <c r="F34" s="25">
        <f>$B34*($C$28-$C$29)-$C$30-$B34*(F$33*$C$29*Допускания!$C$54+F$33*Допускания!$C$52*Допускания!$C$53*$C$31)</f>
        <v>177355.87800000006</v>
      </c>
      <c r="G34" s="25">
        <f>$B34*($C$28-$C$29)-$C$30-$B34*(G$33*$C$29*Допускания!$C$54+G$33*Допускания!$C$52*Допускания!$C$53*$C$31)</f>
        <v>158042.72250000009</v>
      </c>
    </row>
    <row r="35" spans="2:7" x14ac:dyDescent="0.25">
      <c r="B35" s="51">
        <v>85</v>
      </c>
      <c r="C35" s="25">
        <f>$B35*($C$28-$C$29)-$C$30-$B35*(C$33*$C$29*Допускания!$C$54+C$33*Допускания!$C$52*Допускания!$C$53*$C$31)</f>
        <v>422580.071375</v>
      </c>
      <c r="D35" s="25">
        <f>$B35*($C$28-$C$29)-$C$30-$B35*(D$33*$C$29*Допускания!$C$54+D$33*Допускания!$C$52*Допускания!$C$53*$C$31)</f>
        <v>395219.76775</v>
      </c>
      <c r="E35" s="25">
        <f>$B35*($C$28-$C$29)-$C$30-$B35*(E$33*$C$29*Допускания!$C$54+E$33*Допускания!$C$52*Допускания!$C$53*$C$31)</f>
        <v>367859.464125</v>
      </c>
      <c r="F35" s="25">
        <f>$B35*($C$28-$C$29)-$C$30-$B35*(F$33*$C$29*Допускания!$C$54+F$33*Допускания!$C$52*Допускания!$C$53*$C$31)</f>
        <v>340499.1605</v>
      </c>
      <c r="G35" s="25">
        <f>$B35*($C$28-$C$29)-$C$30-$B35*(G$33*$C$29*Допускания!$C$54+G$33*Допускания!$C$52*Допускания!$C$53*$C$31)</f>
        <v>313138.85687500006</v>
      </c>
    </row>
    <row r="36" spans="2:7" x14ac:dyDescent="0.25">
      <c r="B36" s="51">
        <v>108</v>
      </c>
      <c r="C36" s="25">
        <f>$B36*($C$28-$C$29)-$C$30-$B36*(C$33*$C$29*Допускания!$C$54+C$33*Допускания!$C$52*Допускания!$C$53*$C$31)</f>
        <v>594882.02010000008</v>
      </c>
      <c r="D36" s="25">
        <f>$B36*($C$28-$C$29)-$C$30-$B36*(D$33*$C$29*Допускания!$C$54+D$33*Допускания!$C$52*Допускания!$C$53*$C$31)</f>
        <v>560118.34020000009</v>
      </c>
      <c r="E36" s="25">
        <f>$B36*($C$28-$C$29)-$C$30-$B36*(E$33*$C$29*Допускания!$C$54+E$33*Допускания!$C$52*Допускания!$C$53*$C$31)</f>
        <v>525354.66030000011</v>
      </c>
      <c r="F36" s="25">
        <f>$B36*($C$28-$C$29)-$C$30-$B36*(F$33*$C$29*Допускания!$C$54+F$33*Допускания!$C$52*Допускания!$C$53*$C$31)</f>
        <v>490590.98040000012</v>
      </c>
      <c r="G36" s="25">
        <f>$B36*($C$28-$C$29)-$C$30-$B36*(G$33*$C$29*Допускания!$C$54+G$33*Допускания!$C$52*Допускания!$C$53*$C$31)</f>
        <v>455827.30050000013</v>
      </c>
    </row>
    <row r="37" spans="2:7" x14ac:dyDescent="0.25">
      <c r="B37" s="51">
        <v>130</v>
      </c>
      <c r="C37" s="25">
        <f>$B37*($C$28-$C$29)-$C$30-$B37*(C$33*$C$29*Допускания!$C$54+C$33*Допускания!$C$52*Допускания!$C$53*$C$31)</f>
        <v>759692.57975000015</v>
      </c>
      <c r="D37" s="25">
        <f>$B37*($C$28-$C$29)-$C$30-$B37*(D$33*$C$29*Допускания!$C$54+D$33*Допускания!$C$52*Допускания!$C$53*$C$31)</f>
        <v>717847.40950000007</v>
      </c>
      <c r="E37" s="25">
        <f>$B37*($C$28-$C$29)-$C$30-$B37*(E$33*$C$29*Допускания!$C$54+E$33*Допускания!$C$52*Допускания!$C$53*$C$31)</f>
        <v>676002.2392500001</v>
      </c>
      <c r="F37" s="25">
        <f>$B37*($C$28-$C$29)-$C$30-$B37*(F$33*$C$29*Допускания!$C$54+F$33*Допускания!$C$52*Допускания!$C$53*$C$31)</f>
        <v>634157.06900000013</v>
      </c>
      <c r="G37" s="25">
        <f>$B37*($C$28-$C$29)-$C$30-$B37*(G$33*$C$29*Допускания!$C$54+G$33*Допускания!$C$52*Допускания!$C$53*$C$31)</f>
        <v>592311.89875000017</v>
      </c>
    </row>
    <row r="38" spans="2:7" x14ac:dyDescent="0.25">
      <c r="B38" s="51">
        <v>160</v>
      </c>
      <c r="C38" s="25">
        <f>$B38*($C$28-$C$29)-$C$30-$B38*(C$33*$C$29*Допускания!$C$54+C$33*Допускания!$C$52*Допускания!$C$53*$C$31)</f>
        <v>984434.25199999998</v>
      </c>
      <c r="D38" s="25">
        <f>$B38*($C$28-$C$29)-$C$30-$B38*(D$33*$C$29*Допускания!$C$54+D$33*Допускания!$C$52*Допускания!$C$53*$C$31)</f>
        <v>932932.50399999996</v>
      </c>
      <c r="E38" s="25">
        <f>$B38*($C$28-$C$29)-$C$30-$B38*(E$33*$C$29*Допускания!$C$54+E$33*Допускания!$C$52*Допускания!$C$53*$C$31)</f>
        <v>881430.75600000005</v>
      </c>
      <c r="F38" s="25">
        <f>$B38*($C$28-$C$29)-$C$30-$B38*(F$33*$C$29*Допускания!$C$54+F$33*Допускания!$C$52*Допускания!$C$53*$C$31)</f>
        <v>829929.00800000003</v>
      </c>
      <c r="G38" s="25">
        <f>$B38*($C$28-$C$29)-$C$30-$B38*(G$33*$C$29*Допускания!$C$54+G$33*Допускания!$C$52*Допускания!$C$53*$C$31)</f>
        <v>778427.26</v>
      </c>
    </row>
    <row r="40" spans="2:7" x14ac:dyDescent="0.25">
      <c r="B40" s="3" t="s">
        <v>353</v>
      </c>
    </row>
  </sheetData>
  <mergeCells count="3">
    <mergeCell ref="B20:G20"/>
    <mergeCell ref="B21:G21"/>
    <mergeCell ref="B22:G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Указания</vt:lpstr>
      <vt:lpstr>Допускания</vt:lpstr>
      <vt:lpstr>Пакети</vt:lpstr>
      <vt:lpstr>Обеми</vt:lpstr>
      <vt:lpstr>ОПР</vt:lpstr>
      <vt:lpstr>Гаранционен фонд</vt:lpstr>
      <vt:lpstr>Паричен поток</vt:lpstr>
      <vt:lpstr>Годишно резюме</vt:lpstr>
      <vt:lpstr>Сценарии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Anton Gavrailov</cp:lastModifiedBy>
  <cp:revision>0</cp:revision>
  <dcterms:created xsi:type="dcterms:W3CDTF">2026-09-07T04:05:29Z</dcterms:created>
  <dcterms:modified xsi:type="dcterms:W3CDTF">2026-09-07T06:31:46Z</dcterms:modified>
  <dc:language>en-US</dc:language>
</cp:coreProperties>
</file>